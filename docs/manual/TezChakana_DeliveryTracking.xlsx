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пользоваться" sheetId="1" state="visible" r:id="rId3"/>
    <sheet name="Тест-план" sheetId="2" state="visible" r:id="rId4"/>
    <sheet name="Тест-кейсы" sheetId="3" state="visible" r:id="rId5"/>
    <sheet name="Прогон" sheetId="4" state="visible" r:id="rId6"/>
    <sheet name="Баги" sheetId="5" state="visible" r:id="rId7"/>
    <sheet name="Вопросы" sheetId="6" state="visible" r:id="rId8"/>
  </sheets>
  <definedNames>
    <definedName function="false" hidden="true" localSheetId="4" name="_xlnm._FilterDatabase" vbProcedure="false">Баги!$A$1:$L$63</definedName>
    <definedName function="false" hidden="true" localSheetId="3" name="_xlnm._FilterDatabase" vbProcedure="false">Прогон!$A$11:$I$91</definedName>
    <definedName function="false" hidden="true" localSheetId="2" name="_xlnm._FilterDatabase" vbProcedure="false">'Тест-кейсы'!$A$1:$L$81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<sst xmlns="http://schemas.openxmlformats.org/spreadsheetml/2006/main" count="1297" uniqueCount="710">
  <si>
    <t xml:space="preserve">Tez Chakana — ручное тестирование флоу доставки: как пользоваться этим файлом</t>
  </si>
  <si>
    <t xml:space="preserve">Листы</t>
  </si>
  <si>
    <t xml:space="preserve">Тест-план</t>
  </si>
  <si>
    <t xml:space="preserve">Что проверяем, кто за какой ролью, соответствие экранов макета и статусов панели, порядок прогона по заказам, деньги и безопасность.</t>
  </si>
  <si>
    <t xml:space="preserve">Тест-кейсы</t>
  </si>
  <si>
    <t xml:space="preserve">Все кейсы флоу доставки. Фильтры: «Модуль», «Набор», «Приоритет», «Риск». В шагах роль указана в скобках: [Клиент], [Мерчант], [Курьер], [Оператор].</t>
  </si>
  <si>
    <t xml:space="preserve">Прогон</t>
  </si>
  <si>
    <t xml:space="preserve">Шаблон одного прогона. На каждую сборку — копия листа (ПКМ по вкладке → «Переместить или скопировать» → «Создать копию»). Названия подтягиваются из «Тест-кейсы» по ID.</t>
  </si>
  <si>
    <t xml:space="preserve">Баги</t>
  </si>
  <si>
    <t xml:space="preserve">Баги флоу доставки. Уже внесены 12 находок прогона 29.09 (заказ TEZ00871) — большинство со статусом «Перепроверить».</t>
  </si>
  <si>
    <t xml:space="preserve">Вопросы</t>
  </si>
  <si>
    <t xml:space="preserve">Вопросы к продукту и дизайну: ответ превращает вопрос в баг или в уточнение ожидаемого результата кейса.</t>
  </si>
  <si>
    <t xml:space="preserve">Как проходить</t>
  </si>
  <si>
    <t xml:space="preserve">По заказам</t>
  </si>
  <si>
    <t xml:space="preserve">Кейсы выполняются не по одному, а цепочкой на одном заказе — см. «Тест-план → Порядок прогона». Номер заказа пишите в «Комментарий» каждой строки прогона.</t>
  </si>
  <si>
    <t xml:space="preserve">Роли</t>
  </si>
  <si>
    <t xml:space="preserve">Вы одновременно мерчант (панель под суперадмином, отдельный браузер или профиль) и курьер (телефон). Клиент — эмулятор или телефон. Оператор — панель под ролью оператора в Chrome.</t>
  </si>
  <si>
    <t xml:space="preserve">Что записывать</t>
  </si>
  <si>
    <t xml:space="preserve">Если ожидаемый результат говорит «записать» — поведение в макете не описано: впишите факт в «Комментарий» и поставьте Pass, если поведение понятное и корректное.</t>
  </si>
  <si>
    <t xml:space="preserve">Время обновления</t>
  </si>
  <si>
    <t xml:space="preserve">На переходах засекайте, через сколько секунд статус появился у клиента (RSL-06): ≤10 с — норма, 10–30 с — замечание, &gt;30 с — баг.</t>
  </si>
  <si>
    <t xml:space="preserve">Наборы (колонка «Набор»)</t>
  </si>
  <si>
    <t xml:space="preserve">Smoke</t>
  </si>
  <si>
    <t xml:space="preserve">Основной путь на одном заказе с наличными: оформление → 01 → 02 → 03 → 04 → 05 → 06 и данные у оператора и курьера. ~30 мин.</t>
  </si>
  <si>
    <t xml:space="preserve">Sanity</t>
  </si>
  <si>
    <t xml:space="preserve">Smoke + отклонение, замена, задержки, недоступный клиент, устойчивость — ключевые проверки каждого сценария.</t>
  </si>
  <si>
    <t xml:space="preserve">Regression</t>
  </si>
  <si>
    <t xml:space="preserve">Все кейсы, включая редкие ветки и мелкие проверки макета.</t>
  </si>
  <si>
    <t xml:space="preserve">Статусы в «Прогон»</t>
  </si>
  <si>
    <t xml:space="preserve">Pass</t>
  </si>
  <si>
    <t xml:space="preserve">Факт совпал с ожидаемым.</t>
  </si>
  <si>
    <t xml:space="preserve">Fail</t>
  </si>
  <si>
    <t xml:space="preserve">Не совпал → баг в листе «Баги», его ID — в колонку «Баг».</t>
  </si>
  <si>
    <t xml:space="preserve">Blocked</t>
  </si>
  <si>
    <t xml:space="preserve">Нельзя выполнить (неизвестен таймер, нет функции, упал предыдущий шаг) — причину в «Комментарий».</t>
  </si>
  <si>
    <t xml:space="preserve">Skip</t>
  </si>
  <si>
    <t xml:space="preserve">Сознательно пропущен.</t>
  </si>
  <si>
    <t xml:space="preserve">Риск (колонка)</t>
  </si>
  <si>
    <t xml:space="preserve">Безопасно</t>
  </si>
  <si>
    <t xml:space="preserve">Только просмотр.</t>
  </si>
  <si>
    <t xml:space="preserve">Меняет данные</t>
  </si>
  <si>
    <t xml:space="preserve">Меняет тестовый заказ вручную (например, ручная смена статуса оператором).</t>
  </si>
  <si>
    <t xml:space="preserve">Реальный заказ</t>
  </si>
  <si>
    <t xml:space="preserve">Создаёт настоящий заказ на боевом бэкенде. Наличные — довести до доставки или отменить; карта — обязательно проверить возврат.</t>
  </si>
  <si>
    <t xml:space="preserve">Тест-план: флоу доставки и отслеживания заказа (Customer Delivery Tracking)</t>
  </si>
  <si>
    <t xml:space="preserve">Составлен 2026-09-30 по макету Figma «[RFD] Client • Mobile» и прогону 29.09 на сборке 1.1.8 (43)</t>
  </si>
  <si>
    <t xml:space="preserve">1. Объект и цель</t>
  </si>
  <si>
    <t xml:space="preserve">Что тестируем</t>
  </si>
  <si>
    <t xml:space="preserve">Экран отслеживания заказа в клиентском приложении (13 экранов макета: основной путь 01–06 и исключения 01A, 02A, 02B, 02C, 04A, 05A, 05B) и то, как тот же заказ видят мерчант, курьер и оператор.</t>
  </si>
  <si>
    <t xml:space="preserve">Цель</t>
  </si>
  <si>
    <t xml:space="preserve">Каждый этап и каждое исключение корректно отображаются у клиента, данные совпадают на всех сторонах, деньги считаются и возвращаются правильно.</t>
  </si>
  <si>
    <t xml:space="preserve">Вне области</t>
  </si>
  <si>
    <t xml:space="preserve">Каталог, корзина, профиль (есть в основном тест-плане TezChakana_TestPlan.xlsx), нагрузка, iOS.</t>
  </si>
  <si>
    <t xml:space="preserve">2. Участники и устройства</t>
  </si>
  <si>
    <t xml:space="preserve">[Клиент]</t>
  </si>
  <si>
    <t xml:space="preserve">Клиентское приложение новой сборки, язык RU. Эмулятор Android 17 или телефон (для сети и push — телефон).</t>
  </si>
  <si>
    <t xml:space="preserve">[Мерчант]</t>
  </si>
  <si>
    <t xml:space="preserve">tez-merchant.chakana.uz под суперадмином, в отдельном браузере или профиле (иначе вытеснит сессию оператора).</t>
  </si>
  <si>
    <t xml:space="preserve">[Курьер]</t>
  </si>
  <si>
    <t xml:space="preserve">Курьерское приложение на телефоне, курьер на линии.</t>
  </si>
  <si>
    <t xml:space="preserve">[Оператор]</t>
  </si>
  <si>
    <t xml:space="preserve">tez-merchant.chakana.uz под ролью оператора (Chrome), раздел «Заказы», фильтр Pepsi Market: /orders?branch_id=79.</t>
  </si>
  <si>
    <t xml:space="preserve">Магазин и товары</t>
  </si>
  <si>
    <t xml:space="preserve">Pepsi Market, самые дешёвые позиции. Для замены (RPL) — заказ из 3 позиций.</t>
  </si>
  <si>
    <t xml:space="preserve">3. Соответствие экранов макета и статусов</t>
  </si>
  <si>
    <t xml:space="preserve">01 Ждём подтверждения магазина</t>
  </si>
  <si>
    <t xml:space="preserve">Заказ оформлен. Панель: «Подтверждён» (29.09 — сразу после оформления, статуса «Ожидает» не было). Q-D01.</t>
  </si>
  <si>
    <t xml:space="preserve">02 Магазин готовит заказ</t>
  </si>
  <si>
    <t xml:space="preserve">Мерчант: «Готовится», затем «Готов к доставке» (клиент остаётся на 02).</t>
  </si>
  <si>
    <t xml:space="preserve">02A Ищем курьера</t>
  </si>
  <si>
    <t xml:space="preserve">Заказ готов, курьер не принял дольше порога.</t>
  </si>
  <si>
    <t xml:space="preserve">02B Некоторые товары закончились</t>
  </si>
  <si>
    <t xml:space="preserve">Мерчант пометил товары «нет в наличии»; у клиента таймер ответа.</t>
  </si>
  <si>
    <t xml:space="preserve">02C Заказ готовится дольше</t>
  </si>
  <si>
    <t xml:space="preserve">Сборка идёт дольше порога.</t>
  </si>
  <si>
    <t xml:space="preserve">03 Курьер забирает заказ</t>
  </si>
  <si>
    <t xml:space="preserve">Курьер принял заказ. Панель: ожидается «Назначен курьер» (29.09 не появился — BUG-D08).</t>
  </si>
  <si>
    <t xml:space="preserve">04 Курьер в пути</t>
  </si>
  <si>
    <t xml:space="preserve">Курьер забрал заказ. Панель: «Передан курьеру» / «В пути».</t>
  </si>
  <si>
    <t xml:space="preserve">04A Курьер задерживается</t>
  </si>
  <si>
    <t xml:space="preserve">Курьер не прибыл дольше порога; новое время доставки.</t>
  </si>
  <si>
    <t xml:space="preserve">05 Курьер приехал</t>
  </si>
  <si>
    <t xml:space="preserve">Курьер «На месте», у клиента таймер ожидания. В панели такого статуса нет (Q-D02).</t>
  </si>
  <si>
    <t xml:space="preserve">05A Курьер не может с вами связаться</t>
  </si>
  <si>
    <t xml:space="preserve">Клиент недоступен (кнопка курьера или истечение ожидания).</t>
  </si>
  <si>
    <t xml:space="preserve">05B Не удалось доставить заказ</t>
  </si>
  <si>
    <t xml:space="preserve">Таймаут после 05A или решение. Статус панели — уточнить (Q-D14).</t>
  </si>
  <si>
    <t xml:space="preserve">06 Заказ доставлен</t>
  </si>
  <si>
    <t xml:space="preserve">Курьер передал заказ. Панель: «Доставлен».</t>
  </si>
  <si>
    <t xml:space="preserve">01A Заказ отменён</t>
  </si>
  <si>
    <t xml:space="preserve">Мерчант отклонил заказ. Панель: «Отменён».</t>
  </si>
  <si>
    <t xml:space="preserve">4. Порядок прогона по заказам</t>
  </si>
  <si>
    <t xml:space="preserve">Заказ 1 — наличные</t>
  </si>
  <si>
    <t xml:space="preserve">Основной путь: OFR-01, OFR-02, TRK-01…TRK-05, OPR-01, OPR-02 → DLV-01, RSL-01, TRK-08, TRK-09 → DLV-02, CUR-01 → DLV-03, DLV-04, OPR-05 → RSL-04, DLV-05 → RSL-05, DLV-06, DLV-07, RSL-02, CUR-03 → DLV-08 → DLV-09, DLV-10, DLV-11, OPR-03. Попутно: TRK-06, TRK-07, OPR-04, RSL-06, CNL-04, CUR-02.</t>
  </si>
  <si>
    <t xml:space="preserve">Заказ 2 — наличные</t>
  </si>
  <si>
    <t xml:space="preserve">Отмена клиентом: CNL-01, CNL-02.</t>
  </si>
  <si>
    <t xml:space="preserve">Заказ 3 — карта</t>
  </si>
  <si>
    <t xml:space="preserve">Отклонение: OFR-03, REJ-01, REJ-03.</t>
  </si>
  <si>
    <t xml:space="preserve">Заказ 4 — наличные</t>
  </si>
  <si>
    <t xml:space="preserve">Отклонение без возврата: REJ-02.</t>
  </si>
  <si>
    <t xml:space="preserve">Заказ 5 — наличные, 3 позиции</t>
  </si>
  <si>
    <t xml:space="preserve">Замена с ответом: RPL-01, RPL-06, RPL-02, RPL-03 или RPL-04, RPL-05, RPL-10, RPL-08.</t>
  </si>
  <si>
    <t xml:space="preserve">Заказ 6 — карта, 3 позиции</t>
  </si>
  <si>
    <t xml:space="preserve">Замена без ответа: RPL-01, RPL-07 → затем REJ-05 (мерчант отменяет → полный возврат).</t>
  </si>
  <si>
    <t xml:space="preserve">Заказ 7 — наличные</t>
  </si>
  <si>
    <t xml:space="preserve">Задержки и недоступный клиент: DLY-01, DLY-02, DLY-03, DLY-04, DLY-05, DLY-07, DLY-06 → UNV-01, UNV-02, CUR-04 → UNV-03. Попутно OPR-06.</t>
  </si>
  <si>
    <t xml:space="preserve">Заказ 8 — карта</t>
  </si>
  <si>
    <t xml:space="preserve">Недоставка: до 05 → UNV-01 → UNV-04, UNV-05, CUR-05 → UNV-06, UNV-07.</t>
  </si>
  <si>
    <t xml:space="preserve">По желанию</t>
  </si>
  <si>
    <t xml:space="preserve">CNL-03 (отмена клиентом с картой), REJ-04 (автоотмена), RPL-09 (закончилось всё), OPR-07…OPR-11, RSL-03, RSL-07, RSL-08.</t>
  </si>
  <si>
    <t xml:space="preserve">5. Деньги</t>
  </si>
  <si>
    <t xml:space="preserve">Наличные</t>
  </si>
  <si>
    <t xml:space="preserve">Заказы 1, 2, 4, 5, 7 — деньги не списываются; доводим до доставки или отмены.</t>
  </si>
  <si>
    <t xml:space="preserve">Карта</t>
  </si>
  <si>
    <t xml:space="preserve">Заказы 3, 6, 8 — только там, где ожидается возврат. Каждый такой заказ довести до возврата и проверить поступление в банке; сумму и статус записать в «Комментарий».</t>
  </si>
  <si>
    <t xml:space="preserve">6. Безопасность</t>
  </si>
  <si>
    <t xml:space="preserve">Боевой бэкенд</t>
  </si>
  <si>
    <t xml:space="preserve">Работаем только со своими тестовыми заказами. Чужие заказы в панели не открывать и не менять, их данные никуда не переносить.</t>
  </si>
  <si>
    <t xml:space="preserve">Панель</t>
  </si>
  <si>
    <t xml:space="preserve">Ручную смену статуса (OPR-08) — только на своём тестовом заказе. По ссылке Telegram поддержки в панели не переходить (BUG-D09).</t>
  </si>
  <si>
    <t xml:space="preserve">Не оставлять хвостов</t>
  </si>
  <si>
    <t xml:space="preserve">Прерванный сценарий — отменить заказ как мерчант; для карты проверить возврат.</t>
  </si>
  <si>
    <t xml:space="preserve">7. Критерии</t>
  </si>
  <si>
    <t xml:space="preserve">Флоу годен</t>
  </si>
  <si>
    <t xml:space="preserve">Все P0 — Pass; нет открытых Critical; суммы у клиента, в панели и у курьера совпадают; возвраты по карте приходят.</t>
  </si>
  <si>
    <t xml:space="preserve">Флоу не годен</t>
  </si>
  <si>
    <t xml:space="preserve">Любой Fail в Smoke; статус не доходит до клиента; неверные суммы или возвраты; заказ «застревает» на этапе.</t>
  </si>
  <si>
    <t xml:space="preserve">Приоритет кейса</t>
  </si>
  <si>
    <t xml:space="preserve">P0 — без этого заказ не доставить или теряются деньги. P1 — важная ветка флоу. P2 — редкий случай, внешний вид.</t>
  </si>
  <si>
    <t xml:space="preserve">Серьёзность бага</t>
  </si>
  <si>
    <t xml:space="preserve">Critical — деньги, безопасность, флоу не проходит. Major — неверные данные или этап, есть обход. Minor — текст, формат, мелкая логика. Trivial — внешний вид.</t>
  </si>
  <si>
    <t xml:space="preserve">ID</t>
  </si>
  <si>
    <t xml:space="preserve">Модуль</t>
  </si>
  <si>
    <t xml:space="preserve">Название</t>
  </si>
  <si>
    <t xml:space="preserve">Предусловия</t>
  </si>
  <si>
    <t xml:space="preserve">Шаги</t>
  </si>
  <si>
    <t xml:space="preserve">Ожидаемый результат</t>
  </si>
  <si>
    <t xml:space="preserve">Приоритет</t>
  </si>
  <si>
    <t xml:space="preserve">Тип</t>
  </si>
  <si>
    <t xml:space="preserve">Набор</t>
  </si>
  <si>
    <t xml:space="preserve">Риск</t>
  </si>
  <si>
    <t xml:space="preserve">Автотест</t>
  </si>
  <si>
    <t xml:space="preserve">Примечание / баг</t>
  </si>
  <si>
    <t xml:space="preserve">Сводка</t>
  </si>
  <si>
    <t xml:space="preserve">Кол-во</t>
  </si>
  <si>
    <t xml:space="preserve">OFR-01</t>
  </si>
  <si>
    <t xml:space="preserve">Оформление</t>
  </si>
  <si>
    <t xml:space="preserve">Оформление заказа с доставкой, наличные</t>
  </si>
  <si>
    <t xml:space="preserve">Клиент авторизован, язык RU, сборка с новым флоу доставки; активных заказов нет; адрес в зоне Pepsi Market; мерчант открыт в отдельном браузере; курьер на линии; оператор: /orders?branch_id=79</t>
  </si>
  <si>
    <t xml:space="preserve">1. [Клиент] Pepsi Market → добавить 1 самую дешёвую позицию → Корзина → оформление.
2. Проверить блок стоимости: товары, доставка, итог.
3. Выбрать «Наличные», оформить заказ.
4. [Клиент] Открыть «Заказы».</t>
  </si>
  <si>
    <t xml:space="preserve">На экране оформления видна стоимость доставки; Итог = товары + доставка. После оформления — экран успеха, затем отслеживание (экран 01). В «Заказах» ровно один новый заказ, дублей нет.</t>
  </si>
  <si>
    <t xml:space="preserve">P0</t>
  </si>
  <si>
    <t xml:space="preserve">+</t>
  </si>
  <si>
    <t xml:space="preserve">29.09 (TEZ00871): доставка на оформлении не показана; Итог 2 000 без доставки 12 000 — BUG-D01, BUG-D02</t>
  </si>
  <si>
    <t xml:space="preserve">Всего кейсов</t>
  </si>
  <si>
    <t xml:space="preserve">OFR-02</t>
  </si>
  <si>
    <t xml:space="preserve">Экран успеха после оформления</t>
  </si>
  <si>
    <t xml:space="preserve">Выполнен шаг 3 из OFR-01</t>
  </si>
  <si>
    <t xml:space="preserve">1. [Клиент] Рассмотреть экран успеха до перехода на отслеживание.
2. Сверить с экраном оформления и с часами устройства.</t>
  </si>
  <si>
    <t xml:space="preserve">Стоимость доставки = сумме на оформлении и в панели; подпись «Способ оплаты»; время в 24-часовом формате и совпадает с часами устройства; переход к заказу работает.</t>
  </si>
  <si>
    <t xml:space="preserve">P1</t>
  </si>
  <si>
    <t xml:space="preserve">29.09: «Стоимость доставки 0 сум», «Способ пополнения», 04:34 вместо 16:34 — BUG-D03, BUG-D04, BUG-D05</t>
  </si>
  <si>
    <t xml:space="preserve">OFR-03</t>
  </si>
  <si>
    <t xml:space="preserve">Оформление заказа картой</t>
  </si>
  <si>
    <t xml:space="preserve">Клиент авторизован, язык RU, сборка с новым флоу доставки; активных заказов нет; адрес в зоне Pepsi Market; мерчант открыт в отдельном браузере; курьер на линии; оператор: /orders?branch_id=79; есть сохранённая карта</t>
  </si>
  <si>
    <t xml:space="preserve">1. [Клиент] Pepsi Market → 1 дешёвая позиция → оформление.
2. Выбрать сохранённую карту, оформить.
3. [Оператор] Открыть карточку заказа.</t>
  </si>
  <si>
    <t xml:space="preserve">Клиент: экран 01, «Способ оплаты — Через карту ** XXXX» с верными цифрами. Оператор: «Оплата: Карта», «Оплачено: Да», сумма = Итог клиента. Списание в банке = Итог.</t>
  </si>
  <si>
    <t xml:space="preserve">После проверки довести заказ до возврата (REJ-01 или CNL-03). Карты не добавлять и не удалять</t>
  </si>
  <si>
    <t xml:space="preserve">Sanity (вкл. Smoke)</t>
  </si>
  <si>
    <t xml:space="preserve">TRK-01</t>
  </si>
  <si>
    <t xml:space="preserve">Отслеживание</t>
  </si>
  <si>
    <t xml:space="preserve">Экран 01 «Ждём подтверждения магазина»</t>
  </si>
  <si>
    <t xml:space="preserve">Заказ только что оформлен (OFR-01)</t>
  </si>
  <si>
    <t xml:space="preserve">1. [Клиент] Открыть экран отслеживания.
2. Сверить все элементы с макетом.</t>
  </si>
  <si>
    <t xml:space="preserve">Заголовок «Ждём подтверждения магазина»; подзаголовок «Обычно это занимает 1-3 минуты»; степпер: шаг 1 (часы) активен, остальные серые; текст «Сообщим, когда магазин начнет сборку»; карточки «Адрес доставки» (верный адрес), «Ваш заказ — Товаров N шт — Посмотреть», «Способ оплаты», «Общая стоимость» с подсказкой «Итог может измениться при замене или изменении веса товаров»; сверху шеврон и «Помощь».</t>
  </si>
  <si>
    <t xml:space="preserve">На 01 в сборке есть иконка отмены — см. CNL-01</t>
  </si>
  <si>
    <t xml:space="preserve">Regression (все)</t>
  </si>
  <si>
    <t xml:space="preserve">TRK-02</t>
  </si>
  <si>
    <t xml:space="preserve">«Посмотреть» — состав заказа</t>
  </si>
  <si>
    <t xml:space="preserve">Заказ Pepsi Market (наличные); клиент на экране любом</t>
  </si>
  <si>
    <t xml:space="preserve">1. [Клиент] В карточке «Ваш заказ» нажать «Посмотреть».
2. Вернуться назад.</t>
  </si>
  <si>
    <t xml:space="preserve">Открывается состав: товары, количество, цены, как при оформлении. Назад — тот же экран отслеживания с текущим статусом.</t>
  </si>
  <si>
    <t xml:space="preserve">TRK-03</t>
  </si>
  <si>
    <t xml:space="preserve">Кнопка «Помощь»</t>
  </si>
  <si>
    <t xml:space="preserve">1. [Клиент] Нажать «Помощь».
2. Проверить, куда ведёт каждый контакт (без реального звонка/сообщения).
3. Вернуться.</t>
  </si>
  <si>
    <t xml:space="preserve">Открывается поддержка; телефон и Telegram — официальные контакты сервиса. Возврат на отслеживание без потери состояния.</t>
  </si>
  <si>
    <t xml:space="preserve">В панели ссылка Telegram поддержки ведёт на oastify.com — проверить и в приложении (BUG-D09)</t>
  </si>
  <si>
    <t xml:space="preserve">TRK-04</t>
  </si>
  <si>
    <t xml:space="preserve">Шеврон «свернуть» и возврат к заказу</t>
  </si>
  <si>
    <t xml:space="preserve">1. [Клиент] Нажать шеврон.
2. Найти активный заказ (Home / «Заказы»), открыть.</t>
  </si>
  <si>
    <t xml:space="preserve">Экран сворачивается, активный заказ доступен с Home или из «Заказов»; при открытии — текущий статус.</t>
  </si>
  <si>
    <t xml:space="preserve">P2</t>
  </si>
  <si>
    <t xml:space="preserve">TRK-05</t>
  </si>
  <si>
    <t xml:space="preserve">Блок «Общая стоимость»</t>
  </si>
  <si>
    <t xml:space="preserve">Заказ Pepsi Market (наличные); клиент на экране 01</t>
  </si>
  <si>
    <t xml:space="preserve">1. [Клиент] Проверить строки «За товары», «Доставка», «Итог».
2. [Оператор] Сравнить с блоком «Товары / Доставка / Итого» в карточке.</t>
  </si>
  <si>
    <t xml:space="preserve">За товары = сумма позиций; Доставка = сумма или «Бесплатно»; Итог = За товары + Доставка; значения совпадают с панелью.</t>
  </si>
  <si>
    <t xml:space="preserve">29.09: Итог 2 000, доставка 12 000 в итог не вошла (клиент и панель) — BUG-D01</t>
  </si>
  <si>
    <t xml:space="preserve">Негативные (−)</t>
  </si>
  <si>
    <t xml:space="preserve">TRK-06</t>
  </si>
  <si>
    <t xml:space="preserve">Подсказка «Итог может измениться…» по этапам</t>
  </si>
  <si>
    <t xml:space="preserve">Выполняется попутно с DLV-, RPL-, DLY-, UNV-кейсами</t>
  </si>
  <si>
    <t xml:space="preserve">1. [Клиент] На каждом экране отметить, есть ли подсказка под итогом.</t>
  </si>
  <si>
    <t xml:space="preserve">Есть на 01, 02, 02A, 02B, 02C, 03; нет на 04, 04A, 05, 05A, 05B, 06, 01A.</t>
  </si>
  <si>
    <t xml:space="preserve">Q-D08: зачем подсказка на 03 и 02A, если заказ уже собран</t>
  </si>
  <si>
    <t xml:space="preserve">TRK-07</t>
  </si>
  <si>
    <t xml:space="preserve">Степпер соответствует этапу</t>
  </si>
  <si>
    <t xml:space="preserve">Выполняется попутно со всеми сценариями</t>
  </si>
  <si>
    <t xml:space="preserve">1. [Клиент] На каждом экране проверить, какой шаг степпера активен и какие пройдены.</t>
  </si>
  <si>
    <t xml:space="preserve">01 — шаг 1; 02/02A/02B/02C/03 — шаг 2; 04/04A/05/05A — шаг 3; 06 — все шаги зелёные. Активный — красный круг с белой иконкой, пройденные — светло-красные, будущие — серые. На 01A степпера нет.</t>
  </si>
  <si>
    <t xml:space="preserve">Проверяется только визуально</t>
  </si>
  <si>
    <t xml:space="preserve">TRK-08</t>
  </si>
  <si>
    <t xml:space="preserve">Открытие активного заказа из «Заказов»</t>
  </si>
  <si>
    <t xml:space="preserve">Заказ Pepsi Market (наличные); клиент на экране 02</t>
  </si>
  <si>
    <t xml:space="preserve">1. [Клиент] Закрыть отслеживание.
2. «Заказы» → активный заказ.</t>
  </si>
  <si>
    <t xml:space="preserve">Открывается тот же экран отслеживания с текущим статусом, ETA и данными.</t>
  </si>
  <si>
    <t xml:space="preserve">TRK-09</t>
  </si>
  <si>
    <t xml:space="preserve">Формат времени доставки</t>
  </si>
  <si>
    <t xml:space="preserve">1. [Клиент] Проверить строку «Ожидаемая доставка».</t>
  </si>
  <si>
    <t xml:space="preserve">Формат «HH:MM-HH:MM», 24 часа, время в будущем относительно текущего, интервал выделен жирным.</t>
  </si>
  <si>
    <t xml:space="preserve">DLV-01</t>
  </si>
  <si>
    <t xml:space="preserve">Основной путь</t>
  </si>
  <si>
    <t xml:space="preserve">Мерчант взял заказ в работу → экран 02</t>
  </si>
  <si>
    <t xml:space="preserve">1. [Мерчант] Перевести заказ в «Готовится».
2. [Клиент] Не трогая эмулятор, смотреть на экран.
3. [Оператор] Обновить карточку заказа.</t>
  </si>
  <si>
    <t xml:space="preserve">Клиент за ≤10 с: «Магазин готовит заказ», «Ожидаемая доставка HH:MM-HH:MM», шаг 2 активен, «Собираем ваши товары», иконка отмены исчезла. Оператор: статус «Готовится», в истории «Мерчант: Готовится», время, автор.</t>
  </si>
  <si>
    <t xml:space="preserve">29.09: работает (клиент перешёл на 02 после «Готовится» мерчанта)</t>
  </si>
  <si>
    <t xml:space="preserve">DLV-02</t>
  </si>
  <si>
    <t xml:space="preserve">«Готов к доставке» — клиент остаётся на 02</t>
  </si>
  <si>
    <t xml:space="preserve">1. [Мерчант] Перевести заказ в «Готов к доставке».
2. [Клиент] Смотреть на экран 30 с.
3. [Курьер] Открыть ленту заказов.</t>
  </si>
  <si>
    <t xml:space="preserve">Клиент остаётся на 02, ETA не меняется. Оператор: «Готов к доставке». Курьер: заказ в ленте — магазин, адрес клиента, сумма к получению = Итог клиента.</t>
  </si>
  <si>
    <t xml:space="preserve">По макету READY отдельного экрана не имеет</t>
  </si>
  <si>
    <t xml:space="preserve">DLV-03</t>
  </si>
  <si>
    <t xml:space="preserve">Курьер принял заказ → экран 03</t>
  </si>
  <si>
    <t xml:space="preserve">Заказ Pepsi Market (наличные); клиент на экране 02; заказ «Готов к доставке»</t>
  </si>
  <si>
    <t xml:space="preserve">1. [Курьер] Принять заказ.
2. [Клиент] Смотреть на экран.
3. [Оператор] Обновить карточку и список.</t>
  </si>
  <si>
    <t xml:space="preserve">Клиент: «Курьер забирает заказ», ETA, шаг 2 активен, «Курьер направляется за вашим заказом», карточка «Ваш курьер» с именем курьера и кнопкой «Позвонить». Оператор: «Назначен курьер», курьер виден в списке и в карточке.</t>
  </si>
  <si>
    <t xml:space="preserve">29.09: в панели сразу «В пути», без «Назначен курьер»; курьер только в списке — BUG-D08 (перепроверить)</t>
  </si>
  <si>
    <t xml:space="preserve">DLV-04</t>
  </si>
  <si>
    <t xml:space="preserve">«Позвонить» в карточке курьера</t>
  </si>
  <si>
    <t xml:space="preserve">Заказ Pepsi Market (наличные); клиент на экране 03</t>
  </si>
  <si>
    <t xml:space="preserve">1. [Клиент] Нажать «Позвонить».
2. Сверить номер, не звонить, вернуться.</t>
  </si>
  <si>
    <t xml:space="preserve">Открывается набор номера с телефоном курьера (номер курьерского аккаунта). Возврат на отслеживание.</t>
  </si>
  <si>
    <t xml:space="preserve">DLV-05</t>
  </si>
  <si>
    <t xml:space="preserve">Курьер забрал заказ → экран 04</t>
  </si>
  <si>
    <t xml:space="preserve">1. [Курьер] Отметить, что забрал заказ в магазине.
2. [Клиент] Смотреть на экран.
3. [Оператор] Обновить.</t>
  </si>
  <si>
    <t xml:space="preserve">Клиент: «Курьер в пути», ETA, «Ваш заказ уже едет к вам», шаг 3 активен, карточка курьера, подсказки итога нет. Оператор: «Передан курьеру» / «В пути».</t>
  </si>
  <si>
    <t xml:space="preserve">DLV-06</t>
  </si>
  <si>
    <t xml:space="preserve">Курьер на месте → экран 05</t>
  </si>
  <si>
    <t xml:space="preserve">Заказ Pepsi Market (наличные); клиент на экране 04</t>
  </si>
  <si>
    <t xml:space="preserve">1. [Курьер] Нажать «На месте».
2. [Клиент] Смотреть на экран.
3. [Оператор] Обновить.</t>
  </si>
  <si>
    <t xml:space="preserve">Клиент: «Курьер приехал», «Ожидает MM:SS» с обратным отсчётом, «Курьер ждёт вас у места доставки», шаг 3. Таймер у курьера ≈ таймеру клиента (±5 с). Оператор: прибытие видно (статус или запись в истории).</t>
  </si>
  <si>
    <t xml:space="preserve">Q-D02: в панели нет статуса «Курьер на месте»</t>
  </si>
  <si>
    <t xml:space="preserve">DLV-07</t>
  </si>
  <si>
    <t xml:space="preserve">Таймер ожидания на экране 05</t>
  </si>
  <si>
    <t xml:space="preserve">Заказ Pepsi Market (наличные); клиент на экране 05</t>
  </si>
  <si>
    <t xml:space="preserve">1. [Клиент] Наблюдать таймер 1 мин.
2. Закрыть и открыть экран.
3. (Опц.) Дождаться 00:00, курьер ничего не жмёт.</t>
  </si>
  <si>
    <t xml:space="preserve">Отсчёт идёт каждую секунду, после переоткрытия не сбрасывается. На 00:00 — поведение по правилам сервиса (записать: переход на 05A или остаётся 05).</t>
  </si>
  <si>
    <t xml:space="preserve">DLV-08</t>
  </si>
  <si>
    <t xml:space="preserve">Курьер передал заказ → экран 06</t>
  </si>
  <si>
    <t xml:space="preserve">1. [Курьер] Отметить передачу (получил наличные).
2. [Клиент] Смотреть на экран.
3. [Оператор] Обновить.</t>
  </si>
  <si>
    <t xml:space="preserve">Клиент: «Заказ доставлен, HH:MM» (фактическое время), «Спасибо за заказ!», все шаги зелёные, блок «Как прошла доставка?», 5 звёзд, «Сообщить о проблеме»; карточки только «Ваш заказ» и «Общая стоимость». Оператор: «Доставлен», время совпадает, «Оплачено: Да». Курьер: заказ закрыт.</t>
  </si>
  <si>
    <t xml:space="preserve">DLV-09</t>
  </si>
  <si>
    <t xml:space="preserve">Оценка доставки</t>
  </si>
  <si>
    <t xml:space="preserve">Заказ Pepsi Market (наличные); клиент на экране 06</t>
  </si>
  <si>
    <t xml:space="preserve">1. [Клиент] Поставить 5 звёзд.
2. Закрыть и открыть заказ.
3. (Отдельный заказ) Поставить 1–2 звезды.</t>
  </si>
  <si>
    <t xml:space="preserve">Оценка принимается, повторно не запрашивается. При низкой оценке — форма комментария или причины (записать). Оператор видит оценку, если панель это показывает.</t>
  </si>
  <si>
    <t xml:space="preserve">DLV-10</t>
  </si>
  <si>
    <t xml:space="preserve">«Сообщить о проблеме» на экране 06</t>
  </si>
  <si>
    <t xml:space="preserve">1. [Клиент] Нажать «Сообщить о проблеме».
2. Закрыть без отправки.</t>
  </si>
  <si>
    <t xml:space="preserve">Открывается форма или поддержка; закрытие возвращает на 06 без изменений.</t>
  </si>
  <si>
    <t xml:space="preserve">DLV-11</t>
  </si>
  <si>
    <t xml:space="preserve">Доставленный заказ уходит из активных</t>
  </si>
  <si>
    <t xml:space="preserve">1. [Клиент] Перезапустить приложение.
2. Открыть «Заказы».</t>
  </si>
  <si>
    <t xml:space="preserve">Активного отслеживания нет; заказ в истории со статусом «Доставлен» и верной суммой.</t>
  </si>
  <si>
    <t xml:space="preserve">CNL-01</t>
  </si>
  <si>
    <t xml:space="preserve">Отмена клиентом</t>
  </si>
  <si>
    <t xml:space="preserve">Иконка отмены на 01 — отказ от отмены</t>
  </si>
  <si>
    <t xml:space="preserve">1. [Клиент] Нажать иконку отмены (корзина).
2. Ввести причину.
3. Нажать «Нет» / закрыть диалог.</t>
  </si>
  <si>
    <t xml:space="preserve">Диалог отмены с полем причины. После «Нет» заказ не тронут: экран 01, в панели статус не изменился.</t>
  </si>
  <si>
    <t xml:space="preserve">±</t>
  </si>
  <si>
    <t xml:space="preserve">В макете отмены клиентом нет, в сборке есть — Q-D03</t>
  </si>
  <si>
    <t xml:space="preserve">CNL-02</t>
  </si>
  <si>
    <t xml:space="preserve">Отмена заказа клиентом на 01, наличные</t>
  </si>
  <si>
    <t xml:space="preserve">1. [Клиент] Иконка отмены → причина → подтвердить.
2. [Оператор] Обновить карточку.
3. [Мерчант] Открыть заказ.</t>
  </si>
  <si>
    <t xml:space="preserve">Клиент: экран отменённого заказа (записать текст), заказ не в активных. Оператор: «Отменён», автор — клиент, причина сохранена. Мерчант: заказ отменён, в работу не взять. Курьеру заказ не предлагается.</t>
  </si>
  <si>
    <t xml:space="preserve">CNL-03</t>
  </si>
  <si>
    <t xml:space="preserve">Отмена клиентом, оплата картой — возврат</t>
  </si>
  <si>
    <t xml:space="preserve">Заказ Pepsi Market (карта); клиент на экране 01</t>
  </si>
  <si>
    <t xml:space="preserve">1. [Клиент] Отменить заказ на 01.
2. [Оператор] Проверить оплату/возврат.
3. Проверить поступление в банке (позже).</t>
  </si>
  <si>
    <t xml:space="preserve">Клиент видит информацию о возврате (сумма = Итог, маска карты). Оператор: «Отменён», статус возврата. Деньги вернулись на карту.</t>
  </si>
  <si>
    <t xml:space="preserve">CNL-04</t>
  </si>
  <si>
    <t xml:space="preserve">После начала сборки отмены нет</t>
  </si>
  <si>
    <t xml:space="preserve">1. [Клиент] Проверить экраны 02, 03, 04, 05 на наличие иконки отмены.</t>
  </si>
  <si>
    <t xml:space="preserve">Иконки отмены нет начиная с 02.</t>
  </si>
  <si>
    <t xml:space="preserve">−</t>
  </si>
  <si>
    <t xml:space="preserve">29.09: на 02 иконка исчезла — ок</t>
  </si>
  <si>
    <t xml:space="preserve">REJ-01</t>
  </si>
  <si>
    <t xml:space="preserve">Отклонение</t>
  </si>
  <si>
    <t xml:space="preserve">Мерчант отклонил заказ, оплата картой → 01A</t>
  </si>
  <si>
    <t xml:space="preserve">1. [Мерчант] Отклонить заказ (с причиной).
2. [Клиент] Смотреть на экран.
3. [Оператор] Обновить.
4. [Курьер] Проверить ленту.</t>
  </si>
  <si>
    <t xml:space="preserve">Клиент: «Заказ отменён», «Магазин не смог принять заказ», красный блок «Возврат оплаты: &lt;Итог&gt; сум вернём на карту ** XXXX. Срок возврата зависит от банка.»; степпера и подсказки итога нет. Оператор: «Отменён», причина, автор мерчант, статус возврата. Курьеру заказ не приходил.</t>
  </si>
  <si>
    <t xml:space="preserve">Проверить поступление возврата в банке</t>
  </si>
  <si>
    <t xml:space="preserve">REJ-02</t>
  </si>
  <si>
    <t xml:space="preserve">Мерчант отклонил заказ, наличные</t>
  </si>
  <si>
    <t xml:space="preserve">1. [Мерчант] Отклонить заказ.
2. [Клиент] Смотреть на экран.</t>
  </si>
  <si>
    <t xml:space="preserve">01A без блока возврата (записать, что показано вместо него). Оператор: «Отменён», возврата нет.</t>
  </si>
  <si>
    <t xml:space="preserve">Q-D06: в макете вариант для наличных не описан</t>
  </si>
  <si>
    <t xml:space="preserve">REJ-03</t>
  </si>
  <si>
    <t xml:space="preserve">Отменённый заказ не возвращается в активный флоу</t>
  </si>
  <si>
    <t xml:space="preserve">Выполнен REJ-01 или REJ-02</t>
  </si>
  <si>
    <t xml:space="preserve">1. [Клиент] Перезапустить приложение.
2. Открыть Home и «Заказы».</t>
  </si>
  <si>
    <t xml:space="preserve">Активного заказа нет; в истории статус «Отменён».</t>
  </si>
  <si>
    <t xml:space="preserve">REJ-04</t>
  </si>
  <si>
    <t xml:space="preserve">Автоотмена без подтверждения магазина</t>
  </si>
  <si>
    <t xml:space="preserve">Заказ Pepsi Market (наличные); клиент на экране 01; известен таймаут подтверждения</t>
  </si>
  <si>
    <t xml:space="preserve">1. [Мерчант] Ничего не делать до конца таймаута.
2. [Клиент] Смотреть на экран.</t>
  </si>
  <si>
    <t xml:space="preserve">Клиент: 01A. Оператор: «Отменён», причина — таймаут.</t>
  </si>
  <si>
    <t xml:space="preserve">Выполнять, только если автоотмена существует (Q-D05)</t>
  </si>
  <si>
    <t xml:space="preserve">REJ-05</t>
  </si>
  <si>
    <t xml:space="preserve">Мерчант отменил заказ после начала сборки</t>
  </si>
  <si>
    <t xml:space="preserve">Заказ Pepsi Market (карта); клиент на экране 02</t>
  </si>
  <si>
    <t xml:space="preserve">1. [Мерчант] Отменить заказ в статусе «Готовится».
2. [Клиент] Смотреть на экран.
3. [Оператор] Проверить возврат.</t>
  </si>
  <si>
    <t xml:space="preserve">Клиент: понятный экран отмены с информацией о возврате (записать, какой). Оператор: «Отменён», возврат полной списанной суммы.</t>
  </si>
  <si>
    <t xml:space="preserve">В макете не описано — Q-D07</t>
  </si>
  <si>
    <t xml:space="preserve">RPL-01</t>
  </si>
  <si>
    <t xml:space="preserve">Замена</t>
  </si>
  <si>
    <t xml:space="preserve">Товары закончились → экран 02B</t>
  </si>
  <si>
    <t xml:space="preserve">Заказ Pepsi Market из 3 позиций (A, B, C), наличные; статус «Готовится»; клиент на 02</t>
  </si>
  <si>
    <t xml:space="preserve">1. [Мерчант] Пометить A и B «нет в наличии», для A предложить замену (лучше с другой ценой).
2. [Клиент] Смотреть на экран.
3. [Оператор] Обновить.</t>
  </si>
  <si>
    <t xml:space="preserve">Клиент: «Некоторые товары закончились», «2 товара закончились. Ответьте, чтобы магазин продолжил сборку.», жёлтый блок «Осталось MM:SS. Если не ответите, недоступные товары будут удалены из заказа.», таймер идёт, «Решено 0 из 2»; A — «Нет в наличии» → «Предлагаем замену» (название, вес, цена), кнопки «Удалить» / «Заменить»; B — «Нужна замена», «Выбрать». Оператор: признак ожидания замены (записать, как показан).</t>
  </si>
  <si>
    <t xml:space="preserve">RPL-02</t>
  </si>
  <si>
    <t xml:space="preserve">Принять предложенную замену</t>
  </si>
  <si>
    <t xml:space="preserve">Заказ Pepsi Market (наличные); клиент на экране 02B</t>
  </si>
  <si>
    <t xml:space="preserve">1. [Клиент] У товара A нажать «Заменить».
2. [Мерчант] Открыть заказ.</t>
  </si>
  <si>
    <t xml:space="preserve">«Решено 1 из 2», A отмечен как решённый. Мерчант видит выбор клиента.</t>
  </si>
  <si>
    <t xml:space="preserve">RPL-03</t>
  </si>
  <si>
    <t xml:space="preserve">Удалить недоступный товар</t>
  </si>
  <si>
    <t xml:space="preserve">1. [Клиент] У товара нажать «Удалить».</t>
  </si>
  <si>
    <t xml:space="preserve">Счётчик «Решено» увеличился; товар помечен как удалённый.</t>
  </si>
  <si>
    <t xml:space="preserve">RPL-04</t>
  </si>
  <si>
    <t xml:space="preserve">«Выбрать» замену самому</t>
  </si>
  <si>
    <t xml:space="preserve">1. [Клиент] У товара B нажать «Выбрать».
2. Выбрать замену, подтвердить.</t>
  </si>
  <si>
    <t xml:space="preserve">Открывается экран выбора замены (записать какой); после выбора B решён, счётчик увеличился.</t>
  </si>
  <si>
    <t xml:space="preserve">Q-D12: экран выбора в макете не показан</t>
  </si>
  <si>
    <t xml:space="preserve">RPL-05</t>
  </si>
  <si>
    <t xml:space="preserve">Все товары решены → возврат на 02, пересчёт</t>
  </si>
  <si>
    <t xml:space="preserve">Заказ Pepsi Market (наличные); клиент на экране 02B; решён 1 из 2</t>
  </si>
  <si>
    <t xml:space="preserve">1. [Клиент] Решить последний товар.
2. Проверить экран, «Товаров N шт» и блок стоимости.
3. [Оператор] Обновить карточку.</t>
  </si>
  <si>
    <t xml:space="preserve">«Решено 2 из 2» → экран 02. Количество и Итог пересчитаны (разница цены замены, удалённые товары). Состав и Итого в панели совпадают с клиентом. Мерчант продолжает сборку.</t>
  </si>
  <si>
    <t xml:space="preserve">RPL-06</t>
  </si>
  <si>
    <t xml:space="preserve">Таймер замены после перезапуска</t>
  </si>
  <si>
    <t xml:space="preserve">1. [Клиент] Запомнить таймер, убить приложение.
2. Через 20 с открыть.</t>
  </si>
  <si>
    <t xml:space="preserve">Снова 02B; таймер продолжился (меньше на ~20 с), не сброшен; «Решено X из N» сохранилось.</t>
  </si>
  <si>
    <t xml:space="preserve">RPL-07</t>
  </si>
  <si>
    <t xml:space="preserve">Клиент не ответил — автоудаление</t>
  </si>
  <si>
    <t xml:space="preserve">Заказ из 3 позиций, оплата картой; мерчант пометил 2 товара «нет в наличии»; клиент на 02B</t>
  </si>
  <si>
    <t xml:space="preserve">1. [Клиент] Ничего не делать до конца таймера.
2. Проверить экран и суммы.
3. [Оператор] Проверить состав, историю, оплату.</t>
  </si>
  <si>
    <t xml:space="preserve">На 00:00 товары удалены, возврат на 02, количество и Итог уменьшены; таймер не уходит в минус. Оператор: товары удалены автоматически (запись в истории), сумма пересчитана, возврат/корректировка по карте.</t>
  </si>
  <si>
    <t xml:space="preserve">Q-D09: как клиенту показывается удаление</t>
  </si>
  <si>
    <t xml:space="preserve">RPL-08</t>
  </si>
  <si>
    <t xml:space="preserve">Итог после замены на всех сторонах</t>
  </si>
  <si>
    <t xml:space="preserve">Выполнен RPL-05 (наличные)</t>
  </si>
  <si>
    <t xml:space="preserve">1. [Мерчант] «Готов к доставке».
2. [Курьер] Принять → забрал → на месте → передал.
3. Сверить суммы.</t>
  </si>
  <si>
    <t xml:space="preserve">Итог на 06 = пересчитанному; сумма к получению у курьера = новому Итогу; «Итого» в панели = тому же.</t>
  </si>
  <si>
    <t xml:space="preserve">RPL-09</t>
  </si>
  <si>
    <t xml:space="preserve">Закончились все товары заказа</t>
  </si>
  <si>
    <t xml:space="preserve">Заказ из 1–2 позиций; статус «Готовится»</t>
  </si>
  <si>
    <t xml:space="preserve">1. [Мерчант] Пометить все товары «нет в наличии» без замены.
2. [Клиент] Удалить все.</t>
  </si>
  <si>
    <t xml:space="preserve">Понятное поведение: заказ отменяется с информацией для клиента (записать). Нет пустого заказа в доставке.</t>
  </si>
  <si>
    <t xml:space="preserve">Не описано в макете — Q-D09</t>
  </si>
  <si>
    <t xml:space="preserve">RPL-10</t>
  </si>
  <si>
    <t xml:space="preserve">Замена с другой ценой</t>
  </si>
  <si>
    <t xml:space="preserve">1. [Мерчант] Предложить замену дороже (или дешевле) оригинала.
2. [Клиент] Принять.</t>
  </si>
  <si>
    <t xml:space="preserve">Итог изменился на разницу; для карты — доплата или возврат разницы отражены у оператора.</t>
  </si>
  <si>
    <t xml:space="preserve">DLY-01</t>
  </si>
  <si>
    <t xml:space="preserve">Задержки</t>
  </si>
  <si>
    <t xml:space="preserve">Сборка дольше обычного → экран 02C</t>
  </si>
  <si>
    <t xml:space="preserve">Заказ Pepsi Market (наличные); клиент на экране 02; известен порог задержки сборки</t>
  </si>
  <si>
    <t xml:space="preserve">1. [Мерчант] Не завершать сборку дольше порога.
2. [Клиент] Смотреть на экран.
3. [Оператор] Обновить.</t>
  </si>
  <si>
    <t xml:space="preserve">Клиент: «Заказ готовится дольше», «Уточняем новое время доставки», «Магазину нужно немного больше времени», жёлтый блок «Сборка занимает больше времени…», шаг 2. Оператор: заказ заметен как задержанный (записать, как).</t>
  </si>
  <si>
    <t xml:space="preserve">Если порог неизвестен — записать фактическое время появления</t>
  </si>
  <si>
    <t xml:space="preserve">DLY-02</t>
  </si>
  <si>
    <t xml:space="preserve">Сборка завершена после задержки → 02 с новым ETA</t>
  </si>
  <si>
    <t xml:space="preserve">Заказ Pepsi Market (наличные); клиент на экране 02C</t>
  </si>
  <si>
    <t xml:space="preserve">1. [Мерчант] «Готов к доставке».
2. [Клиент] Смотреть на экран.</t>
  </si>
  <si>
    <t xml:space="preserve">Экран 02 с новым ETA (позже первоначального); баннер задержки пропал.</t>
  </si>
  <si>
    <t xml:space="preserve">DLY-03</t>
  </si>
  <si>
    <t xml:space="preserve">Долгий поиск курьера → экран 02A</t>
  </si>
  <si>
    <t xml:space="preserve">1. [Курьер] Не принимать заказ дольше порога.
2. [Клиент] Смотреть на экран.</t>
  </si>
  <si>
    <t xml:space="preserve">Клиент: «Ищем курьера», «Уточняем новое время доставки», жёлтый блок «Поиск занимает больше времени. Заказ уже собран. Сообщим, как только найдём курьера.» Оператор: признак задержки (записать).</t>
  </si>
  <si>
    <t xml:space="preserve">Q-D10: «заказ уже собран», а степпер на сборке</t>
  </si>
  <si>
    <t xml:space="preserve">DLY-04</t>
  </si>
  <si>
    <t xml:space="preserve">Курьер найден после задержки → экран 03</t>
  </si>
  <si>
    <t xml:space="preserve">Заказ Pepsi Market (наличные); клиент на экране 02A</t>
  </si>
  <si>
    <t xml:space="preserve">1. [Курьер] Принять заказ.</t>
  </si>
  <si>
    <t xml:space="preserve">Клиент: экран 03 с ETA и карточкой курьера; баннер пропал.</t>
  </si>
  <si>
    <t xml:space="preserve">DLY-05</t>
  </si>
  <si>
    <t xml:space="preserve">Курьер задерживается в пути → экран 04A</t>
  </si>
  <si>
    <t xml:space="preserve">Заказ Pepsi Market (наличные); клиент на экране 04; известен порог задержки доставки</t>
  </si>
  <si>
    <t xml:space="preserve">1. [Курьер] Не нажимать «На месте» дольше порога.
2. [Клиент] Смотреть на экран.</t>
  </si>
  <si>
    <t xml:space="preserve">Клиент: «Курьер задерживается», «Новое время доставки HH:MM-HH:MM», «Курьер уже едет к вам», жёлтый блок «Доставка займёт немного больше времени…», карточка курьера, шаг 3. Новое время позже прежнего.</t>
  </si>
  <si>
    <t xml:space="preserve">Макет: время на 04A не жирное (Q-D13)</t>
  </si>
  <si>
    <t xml:space="preserve">DLY-06</t>
  </si>
  <si>
    <t xml:space="preserve">Прибытие после задержки → экран 05</t>
  </si>
  <si>
    <t xml:space="preserve">Заказ Pepsi Market (наличные); клиент на экране 04A</t>
  </si>
  <si>
    <t xml:space="preserve">1. [Курьер] «На месте».</t>
  </si>
  <si>
    <t xml:space="preserve">Экран 05, баннер задержки пропал, таймер ожидания запущен.</t>
  </si>
  <si>
    <t xml:space="preserve">DLY-07</t>
  </si>
  <si>
    <t xml:space="preserve">Новое время одинаково у клиента и курьера</t>
  </si>
  <si>
    <t xml:space="preserve">1. Сравнить новое время доставки у клиента и в курьерском приложении.</t>
  </si>
  <si>
    <t xml:space="preserve">Время совпадает (если курьерское приложение показывает ETA).</t>
  </si>
  <si>
    <t xml:space="preserve">UNV-01</t>
  </si>
  <si>
    <t xml:space="preserve">Недоступен</t>
  </si>
  <si>
    <t xml:space="preserve">Клиент недоступен → экран 05A</t>
  </si>
  <si>
    <t xml:space="preserve">1. [Курьер] «Клиент не отвечает» (или дождаться конца таймера ожидания — как устроено).
2. [Клиент] Смотреть.
3. [Оператор] Обновить.</t>
  </si>
  <si>
    <t xml:space="preserve">Клиент: «Курьер не может с вами связаться», «Курьер ждёт у места доставки», жёлтый блок «Свяжитесь с курьером…», красная кнопка «Позвонить курьеру», карточка курьера, шаг 3. Оператор: проблема заметна (записать, как).</t>
  </si>
  <si>
    <t xml:space="preserve">Q-D11: нужен ли на 05A таймер ожидания</t>
  </si>
  <si>
    <t xml:space="preserve">UNV-02</t>
  </si>
  <si>
    <t xml:space="preserve">«Позвонить курьеру» на 05A</t>
  </si>
  <si>
    <t xml:space="preserve">Заказ Pepsi Market (наличные); клиент на экране 05A</t>
  </si>
  <si>
    <t xml:space="preserve">1. [Клиент] Нажать «Позвонить курьеру».
2. Сверить номер, не звонить, вернуться.</t>
  </si>
  <si>
    <t xml:space="preserve">Набор номера с телефоном курьера.</t>
  </si>
  <si>
    <t xml:space="preserve">UNV-03</t>
  </si>
  <si>
    <t xml:space="preserve">Передача после 05A → экран 06</t>
  </si>
  <si>
    <t xml:space="preserve">1. [Курьер] Передал заказ.</t>
  </si>
  <si>
    <t xml:space="preserve">Клиент: 06. Оператор: «Доставлен», признак проблемы снят.</t>
  </si>
  <si>
    <t xml:space="preserve">UNV-04</t>
  </si>
  <si>
    <t xml:space="preserve">Таймаут → экран 05B «Не удалось доставить»</t>
  </si>
  <si>
    <t xml:space="preserve">Заказ Pepsi Market (карта); клиент на экране 05A</t>
  </si>
  <si>
    <t xml:space="preserve">1. Никто ничего не делает до таймаута (или мерчант переводит в «не доставлен» — как устроено).
2. [Клиент] Смотреть.
3. [Оператор] Обновить.
4. [Курьер] Проверить приложение.</t>
  </si>
  <si>
    <t xml:space="preserve">Клиент: «Не удалось доставить заказ», «Курьер не смог передать вам заказ», красный блок «Доставка не состоялась. Мы проверим ситуацию и сообщим, что произойдёт с заказом и оплатой.», кнопка «Связаться с поддержкой», карточки курьера нет. Оператор: финальный статус (записать — «Возвращён»?). Курьер: инструкция, что делать с заказом.</t>
  </si>
  <si>
    <t xml:space="preserve">Q-D14: какой статус в панели соответствует недоставке</t>
  </si>
  <si>
    <t xml:space="preserve">UNV-05</t>
  </si>
  <si>
    <t xml:space="preserve">«Связаться с поддержкой» на 05B</t>
  </si>
  <si>
    <t xml:space="preserve">Заказ Pepsi Market (карта); клиент на экране 05B</t>
  </si>
  <si>
    <t xml:space="preserve">1. [Клиент] Нажать «Связаться с поддержкой».
2. Вернуться.</t>
  </si>
  <si>
    <t xml:space="preserve">Открывается канал поддержки (официальный контакт).</t>
  </si>
  <si>
    <t xml:space="preserve">UNV-06</t>
  </si>
  <si>
    <t xml:space="preserve">Возврат после недоставки (карта)</t>
  </si>
  <si>
    <t xml:space="preserve">1. [Мерчант] Принять решение по заказу — возврат.
2. [Клиент] Проверить экран.
3. [Оператор] Проверить возврат.</t>
  </si>
  <si>
    <t xml:space="preserve">Клиент видит итог решения и информацию о возврате (записать). Оператор: статус возврата, сумма = списанной.</t>
  </si>
  <si>
    <t xml:space="preserve">UNV-07</t>
  </si>
  <si>
    <t xml:space="preserve">Недоставленный заказ не возвращается в активный флоу</t>
  </si>
  <si>
    <t xml:space="preserve">Выполнен UNV-04</t>
  </si>
  <si>
    <t xml:space="preserve">Активного заказа нет; статус в истории понятен клиенту.</t>
  </si>
  <si>
    <t xml:space="preserve">RSL-01</t>
  </si>
  <si>
    <t xml:space="preserve">Устойчивость</t>
  </si>
  <si>
    <t xml:space="preserve">Перезапуск приложения на 02</t>
  </si>
  <si>
    <t xml:space="preserve">1. [Клиент] Смахнуть приложение из недавних.
2. Открыть заново, открыть заказ.</t>
  </si>
  <si>
    <t xml:space="preserve">Сразу экран 02 с тем же ETA, без мелькания 01. Вход сохранён.</t>
  </si>
  <si>
    <t xml:space="preserve">На эмуляторе после запуска появляется диалог уведомлений — закрыть</t>
  </si>
  <si>
    <t xml:space="preserve">RSL-02</t>
  </si>
  <si>
    <t xml:space="preserve">Перезапуск на 05 — таймер ожидания</t>
  </si>
  <si>
    <t xml:space="preserve">Экран 05, таймер меньше на ~20 с, не сброшен.</t>
  </si>
  <si>
    <t xml:space="preserve">RSL-03</t>
  </si>
  <si>
    <t xml:space="preserve">Сворачивание на 30 с</t>
  </si>
  <si>
    <t xml:space="preserve">1. [Клиент] Свернуть приложение на 30 с.
2. Вернуться.</t>
  </si>
  <si>
    <t xml:space="preserve">Тот же экран, актуальный статус, таймеры продолжили отсчёт.</t>
  </si>
  <si>
    <t xml:space="preserve">RSL-04</t>
  </si>
  <si>
    <t xml:space="preserve">Смена статуса, пока приложение свёрнуто</t>
  </si>
  <si>
    <t xml:space="preserve">1. [Клиент] Свернуть приложение.
2. [Курьер] Отметить «Забрал».
3. [Клиент] Вернуться в приложение.</t>
  </si>
  <si>
    <t xml:space="preserve">Сразу экран 04, без перезапуска.</t>
  </si>
  <si>
    <t xml:space="preserve">RSL-05</t>
  </si>
  <si>
    <t xml:space="preserve">Нет сети во время смены статуса</t>
  </si>
  <si>
    <t xml:space="preserve">1. [Клиент] Выключить Wi-Fi и мобильные данные.
2. [Курьер] «На месте».
3. [Клиент] Через 30 с включить сеть.</t>
  </si>
  <si>
    <t xml:space="preserve">Без сети — экран не падает (есть индикатор офлайна или прежний статус). После включения — экран 05 без перезапуска.</t>
  </si>
  <si>
    <t xml:space="preserve">Выполнять на телефоне: на эмуляторе отключение сети не рвёт открытые соединения — результат недостоверен</t>
  </si>
  <si>
    <t xml:space="preserve">RSL-06</t>
  </si>
  <si>
    <t xml:space="preserve">Скорость обновления статуса</t>
  </si>
  <si>
    <t xml:space="preserve">Выполняется попутно с DLV-01…DLV-08</t>
  </si>
  <si>
    <t xml:space="preserve">1. На каждом переходе засечь время от действия мерчанта/курьера до смены экрана у клиента и статуса у оператора.</t>
  </si>
  <si>
    <t xml:space="preserve">Клиент ≤10 с; оператор — после обновления страницы статус уже новый.</t>
  </si>
  <si>
    <t xml:space="preserve">10–30 с — замечание, &gt;30 с — баг</t>
  </si>
  <si>
    <t xml:space="preserve">RSL-07</t>
  </si>
  <si>
    <t xml:space="preserve">Push-уведомления о смене статуса</t>
  </si>
  <si>
    <t xml:space="preserve">Клиент авторизован, язык RU, сборка с новым флоу доставки; активных заказов нет; адрес в зоне Pepsi Market; мерчант открыт в отдельном браузере; курьер на линии; оператор: /orders?branch_id=79; уведомления разрешены; приложение свёрнуто</t>
  </si>
  <si>
    <t xml:space="preserve">1. Пройти основной путь и сценарии отклонения/недоставки.
2. Отмечать уведомления.
3. Нажать на одно из них.</t>
  </si>
  <si>
    <t xml:space="preserve">Уведомления на ключевых переходах (02, 03, 05, 05A, 06, 01A, 05B) с понятным текстом; тап открывает отслеживание этого заказа.</t>
  </si>
  <si>
    <t xml:space="preserve">Лучше на реальном телефоне</t>
  </si>
  <si>
    <t xml:space="preserve">RSL-08</t>
  </si>
  <si>
    <t xml:space="preserve">Открытие из уведомления при закрытом приложении</t>
  </si>
  <si>
    <t xml:space="preserve">Приложение смахнуто; пришло уведомление о смене статуса</t>
  </si>
  <si>
    <t xml:space="preserve">1. Нажать на уведомление.</t>
  </si>
  <si>
    <t xml:space="preserve">Приложение запускается и открывает отслеживание этого заказа с текущим статусом.</t>
  </si>
  <si>
    <t xml:space="preserve">OPR-01</t>
  </si>
  <si>
    <t xml:space="preserve">Оператор</t>
  </si>
  <si>
    <t xml:space="preserve">Новый заказ появляется у оператора</t>
  </si>
  <si>
    <t xml:space="preserve">Выполнен OFR-01</t>
  </si>
  <si>
    <t xml:space="preserve">1. [Оператор] Обновить /orders?branch_id=79.</t>
  </si>
  <si>
    <t xml:space="preserve">Заказ в списке: номер, клиент (имя, телефон), мерчант Pepsi Market, Итого, оплата, статус «Подтверждён», дата = время оформления.</t>
  </si>
  <si>
    <t xml:space="preserve">29.09: «Дата» 16:32 = создание корзины, оформление 16:34 — BUG-D07</t>
  </si>
  <si>
    <t xml:space="preserve">OPR-02</t>
  </si>
  <si>
    <t xml:space="preserve">Карточка заказа совпадает с клиентом</t>
  </si>
  <si>
    <t xml:space="preserve">Заказ создан; открыта его карточка</t>
  </si>
  <si>
    <t xml:space="preserve">1. [Оператор] Сверить товары, кол-во, цены, доставку, Итого, оплату, адрес, телефон с экраном клиента.</t>
  </si>
  <si>
    <t xml:space="preserve">Все данные совпадают; адрес доставки заполнен.</t>
  </si>
  <si>
    <t xml:space="preserve">29.09: адрес «—» (TEZ00871, TEZ00798) — BUG-D06</t>
  </si>
  <si>
    <t xml:space="preserve">OPR-03</t>
  </si>
  <si>
    <t xml:space="preserve">История статусов</t>
  </si>
  <si>
    <t xml:space="preserve">Заказ прошёл весь основной путь</t>
  </si>
  <si>
    <t xml:space="preserve">1. [Оператор] Открыть историю статусов.</t>
  </si>
  <si>
    <t xml:space="preserve">Каждый переход записан один раз, по порядку, со временем и автором (мерчант / курьер / система / клиент).</t>
  </si>
  <si>
    <t xml:space="preserve">29.09: у перехода «Готов к доставке → В пути» автор не указан</t>
  </si>
  <si>
    <t xml:space="preserve">OPR-04</t>
  </si>
  <si>
    <t xml:space="preserve">Фильтры статусов</t>
  </si>
  <si>
    <t xml:space="preserve">Выполняется на каждом этапе основного пути</t>
  </si>
  <si>
    <t xml:space="preserve">1. [Оператор] Выбрать фильтр текущего статуса.
2. Выбрать фильтр предыдущего статуса.</t>
  </si>
  <si>
    <t xml:space="preserve">Заказ находится только в фильтре текущего статуса.</t>
  </si>
  <si>
    <t xml:space="preserve">OPR-05</t>
  </si>
  <si>
    <t xml:space="preserve">Курьер виден в заказе</t>
  </si>
  <si>
    <t xml:space="preserve">1. [Оператор] Проверить список и карточку.</t>
  </si>
  <si>
    <t xml:space="preserve">Таксопарк/курьер указаны в списке и в карточке; имя = имени на клиенте.</t>
  </si>
  <si>
    <t xml:space="preserve">29.09: курьер только в списке — BUG-D08</t>
  </si>
  <si>
    <t xml:space="preserve">OPR-06</t>
  </si>
  <si>
    <t xml:space="preserve">Проблемные заказы заметны оператору</t>
  </si>
  <si>
    <t xml:space="preserve">Выполняется в RPL-01, DLY-01, DLY-03, DLY-05, UNV-01, UNV-04</t>
  </si>
  <si>
    <t xml:space="preserve">1. [Оператор] На каждом проблемном состоянии осмотреть список, карточку, колокольчик уведомлений.</t>
  </si>
  <si>
    <t xml:space="preserve">Оператор видит проблему (метка, подсветка, уведомление или фильтр). Записать, где и как.</t>
  </si>
  <si>
    <t xml:space="preserve">Q-D02: в панели нет статусов и фильтров для проблем</t>
  </si>
  <si>
    <t xml:space="preserve">OPR-07</t>
  </si>
  <si>
    <t xml:space="preserve">Уведомления оператора</t>
  </si>
  <si>
    <t xml:space="preserve">Открыта панель оператора</t>
  </si>
  <si>
    <t xml:space="preserve">1. Создать новый заказ.
2. Вызвать проблемное состояние.
3. Проверить колокольчик.</t>
  </si>
  <si>
    <t xml:space="preserve">Уведомления о новом заказе и о проблемах (если предусмотрены); переход из уведомления открывает заказ.</t>
  </si>
  <si>
    <t xml:space="preserve">OPR-08</t>
  </si>
  <si>
    <t xml:space="preserve">Ручная смена статуса оператором</t>
  </si>
  <si>
    <t xml:space="preserve">Заказ Pepsi Market (наличные); клиент на экране 02; только тестовый заказ</t>
  </si>
  <si>
    <t xml:space="preserve">1. [Оператор] «Изменить статус» → следующий статус → комментарий → «Сохранить».
2. [Клиент] Смотреть на экран.</t>
  </si>
  <si>
    <t xml:space="preserve">Статус изменён; в истории автор — оператор, комментарий сохранён; клиент получил новый экран.</t>
  </si>
  <si>
    <t xml:space="preserve">Только на своём тестовом заказе</t>
  </si>
  <si>
    <t xml:space="preserve">OPR-09</t>
  </si>
  <si>
    <t xml:space="preserve">Доступ роли «Оператор»</t>
  </si>
  <si>
    <t xml:space="preserve">Выйти из панели</t>
  </si>
  <si>
    <t xml:space="preserve">1. Войти под ролью оператора.
2. Посмотреть меню.
3. Открыть /store напрямую.</t>
  </si>
  <si>
    <t xml:space="preserve">После входа открывается «Заказы»; в меню только доступные разделы; прямой URL недоступного раздела — 403.</t>
  </si>
  <si>
    <t xml:space="preserve">29.09: после входа 403 на /dashboard; в меню видны недоступные разделы — BUG-D10, BUG-D11</t>
  </si>
  <si>
    <t xml:space="preserve">OPR-10</t>
  </si>
  <si>
    <t xml:space="preserve">Контакты поддержки в панели</t>
  </si>
  <si>
    <t xml:space="preserve">Открыта панель</t>
  </si>
  <si>
    <t xml:space="preserve">1. Навести курсор на «Телефон» и «Telegram службы поддержки», посмотреть адреса ссылок (не переходить).</t>
  </si>
  <si>
    <t xml:space="preserve">Ссылки ведут на официальные контакты сервиса.</t>
  </si>
  <si>
    <t xml:space="preserve">29.09: Telegram → fl4y…oastify.com — BUG-D09</t>
  </si>
  <si>
    <t xml:space="preserve">OPR-11</t>
  </si>
  <si>
    <t xml:space="preserve">Поиск заказа</t>
  </si>
  <si>
    <t xml:space="preserve">Есть тестовый заказ</t>
  </si>
  <si>
    <t xml:space="preserve">1. [Оператор] Найти заказ по номеру.
2. Найти по телефону клиента.</t>
  </si>
  <si>
    <t xml:space="preserve">Заказ находится в обоих случаях.</t>
  </si>
  <si>
    <t xml:space="preserve">CUR-01</t>
  </si>
  <si>
    <t xml:space="preserve">Курьер</t>
  </si>
  <si>
    <t xml:space="preserve">Заказ в ленте курьера</t>
  </si>
  <si>
    <t xml:space="preserve">Заказ «Готов к доставке»</t>
  </si>
  <si>
    <t xml:space="preserve">1. [Курьер] Открыть ленту, открыть заказ.</t>
  </si>
  <si>
    <t xml:space="preserve">Магазин, адрес клиента, состав, способ оплаты, сумма к получению (для наличных) = Итог клиента.</t>
  </si>
  <si>
    <t xml:space="preserve">CUR-02</t>
  </si>
  <si>
    <t xml:space="preserve">Действия курьера по этапам</t>
  </si>
  <si>
    <t xml:space="preserve">Заказ принят курьером</t>
  </si>
  <si>
    <t xml:space="preserve">1. [Курьер] На каждом этапе проверить доступные кнопки.</t>
  </si>
  <si>
    <t xml:space="preserve">Доступно только следующее действие: принять → забрал → на месте → передал; этапы не пропускаются.</t>
  </si>
  <si>
    <t xml:space="preserve">CUR-03</t>
  </si>
  <si>
    <t xml:space="preserve">Таймер ожидания у курьера</t>
  </si>
  <si>
    <t xml:space="preserve">1. Сравнить таймер у курьера и у клиента.</t>
  </si>
  <si>
    <t xml:space="preserve">Расхождение не больше 5 с.</t>
  </si>
  <si>
    <t xml:space="preserve">CUR-04</t>
  </si>
  <si>
    <t xml:space="preserve">Кнопка «Клиент не отвечает»</t>
  </si>
  <si>
    <t xml:space="preserve">1. [Курьер] Найти действие для недоступного клиента.</t>
  </si>
  <si>
    <t xml:space="preserve">Действие есть (или в таймаут переход автоматический — записать, как устроено); клиент получает 05A.</t>
  </si>
  <si>
    <t xml:space="preserve">CUR-05</t>
  </si>
  <si>
    <t xml:space="preserve">Инструкции курьеру при недоставке</t>
  </si>
  <si>
    <t xml:space="preserve">1. [Курьер] Открыть заказ.</t>
  </si>
  <si>
    <t xml:space="preserve">Понятно, что делать с заказом (вернуть в магазин и т. п.); заказ не висит в активных.</t>
  </si>
  <si>
    <t xml:space="preserve">Прогон флоу доставки (шаблон) — скопируйте лист на каждую сборку</t>
  </si>
  <si>
    <t xml:space="preserve">Сборка (версия)</t>
  </si>
  <si>
    <t xml:space="preserve">1.1.8 (43)</t>
  </si>
  <si>
    <t xml:space="preserve">Smoke выполнено</t>
  </si>
  <si>
    <t xml:space="preserve">Дата</t>
  </si>
  <si>
    <t xml:space="preserve">Smoke Fail</t>
  </si>
  <si>
    <t xml:space="preserve">Тестировщик</t>
  </si>
  <si>
    <t xml:space="preserve">P0 Fail</t>
  </si>
  <si>
    <t xml:space="preserve">Устройство клиента</t>
  </si>
  <si>
    <t xml:space="preserve">Вердикт</t>
  </si>
  <si>
    <t xml:space="preserve">Вид прогона</t>
  </si>
  <si>
    <t xml:space="preserve">Номера заказов</t>
  </si>
  <si>
    <t xml:space="preserve">Не выполнено</t>
  </si>
  <si>
    <t xml:space="preserve">% Pass (из выполненных)</t>
  </si>
  <si>
    <t xml:space="preserve">Жёлтые ячейки — заполнять. Пример строки: DLV-03 | Fail | BUG-D08 | «TEZ00871: в панели сразу «В пути», курьера в карточке нет».</t>
  </si>
  <si>
    <t xml:space="preserve">Статус</t>
  </si>
  <si>
    <t xml:space="preserve">Баг</t>
  </si>
  <si>
    <t xml:space="preserve">Комментарий (№ заказа, факт)</t>
  </si>
  <si>
    <t xml:space="preserve">Заголовок</t>
  </si>
  <si>
    <t xml:space="preserve">Факт</t>
  </si>
  <si>
    <t xml:space="preserve">Ожидание</t>
  </si>
  <si>
    <t xml:space="preserve">Серьёзность</t>
  </si>
  <si>
    <t xml:space="preserve">Найден в</t>
  </si>
  <si>
    <t xml:space="preserve">Кейс</t>
  </si>
  <si>
    <t xml:space="preserve">Комментарий / трекер</t>
  </si>
  <si>
    <t xml:space="preserve">BUG-D01</t>
  </si>
  <si>
    <t xml:space="preserve">Итог заказа не включает стоимость доставки</t>
  </si>
  <si>
    <t xml:space="preserve">1. Pepsi Market, 1 товар 2 000.
2. Оформить с доставкой.
3. Посмотреть блок стоимости в отслеживании и в панели.</t>
  </si>
  <si>
    <t xml:space="preserve">Доставка 12 000, Итог 2 000 — и у клиента, и в панели («Итого» 2 000).</t>
  </si>
  <si>
    <t xml:space="preserve">Итог = товары + доставка (14 000) или явное пояснение, что доставка оплачивается отдельно.</t>
  </si>
  <si>
    <t xml:space="preserve">Critical</t>
  </si>
  <si>
    <t xml:space="preserve">Перепроверить</t>
  </si>
  <si>
    <t xml:space="preserve">1.1.8 (43), TEZ00871</t>
  </si>
  <si>
    <t xml:space="preserve">2026-09-29</t>
  </si>
  <si>
    <t xml:space="preserve">Возможно, дубль бага из основного тест-плана («Jami не включает доставку»). См. Q-D04</t>
  </si>
  <si>
    <t xml:space="preserve">BUG-D02</t>
  </si>
  <si>
    <t xml:space="preserve">На экране оформления не показана стоимость доставки</t>
  </si>
  <si>
    <t xml:space="preserve">1. Pepsi Market, 1 товар.
2. Открыть оформление, посмотреть блок стоимости.</t>
  </si>
  <si>
    <t xml:space="preserve">Строки доставки нет.</t>
  </si>
  <si>
    <t xml:space="preserve">Стоимость доставки показана до оформления.</t>
  </si>
  <si>
    <t xml:space="preserve">Major</t>
  </si>
  <si>
    <t xml:space="preserve">BUG-D03</t>
  </si>
  <si>
    <t xml:space="preserve">Экран успеха: «Стоимость доставки 0 сум»</t>
  </si>
  <si>
    <t xml:space="preserve">1. Оформить заказ с доставкой 12 000.
2. Посмотреть экран успеха.</t>
  </si>
  <si>
    <t xml:space="preserve">«Стоимость доставки 0 сум».</t>
  </si>
  <si>
    <t xml:space="preserve">Сумма доставки = 12 000, как в панели.</t>
  </si>
  <si>
    <t xml:space="preserve">BUG-D04</t>
  </si>
  <si>
    <t xml:space="preserve">Экран успеха: подпись «Способ пополнения» вместо «Способ оплаты»</t>
  </si>
  <si>
    <t xml:space="preserve">1. Оформить заказ.
2. Посмотреть экран успеха.</t>
  </si>
  <si>
    <t xml:space="preserve">«Способ пополнения».</t>
  </si>
  <si>
    <t xml:space="preserve">«Способ оплаты».</t>
  </si>
  <si>
    <t xml:space="preserve">Minor</t>
  </si>
  <si>
    <t xml:space="preserve">BUG-D05</t>
  </si>
  <si>
    <t xml:space="preserve">Экран успеха: время в 12-часовом формате без AM/PM</t>
  </si>
  <si>
    <t xml:space="preserve">1. Оформить заказ в 16:34.
2. Посмотреть время на экране успеха.</t>
  </si>
  <si>
    <t xml:space="preserve">04:34.</t>
  </si>
  <si>
    <t xml:space="preserve">16:34.</t>
  </si>
  <si>
    <t xml:space="preserve">BUG-D06</t>
  </si>
  <si>
    <t xml:space="preserve">Карточка заказа: адрес доставки «—»</t>
  </si>
  <si>
    <t xml:space="preserve">1. Оформить заказ с доставкой на сохранённый адрес.
2. Оператор: открыть карточку заказа.</t>
  </si>
  <si>
    <t xml:space="preserve">«Адрес: —».</t>
  </si>
  <si>
    <t xml:space="preserve">Адрес доставки клиента.</t>
  </si>
  <si>
    <t xml:space="preserve">Новый</t>
  </si>
  <si>
    <t xml:space="preserve">панель, TEZ00871, TEZ00798</t>
  </si>
  <si>
    <t xml:space="preserve">Воспроизвелось на двух заказах</t>
  </si>
  <si>
    <t xml:space="preserve">BUG-D07</t>
  </si>
  <si>
    <t xml:space="preserve">«Дата» заказа = время создания корзины, а не оформления</t>
  </si>
  <si>
    <t xml:space="preserve">1. Оформить заказ.
2. Сравнить «Дату» в списке/карточке с историей и с экраном клиента.</t>
  </si>
  <si>
    <t xml:space="preserve">Дата 16:32, в истории «Корзина → Подтверждён» 16:34, клиент оформил в 16:34.</t>
  </si>
  <si>
    <t xml:space="preserve">Дата = время оформления.</t>
  </si>
  <si>
    <t xml:space="preserve">панель, TEZ00871</t>
  </si>
  <si>
    <t xml:space="preserve">BUG-D08</t>
  </si>
  <si>
    <t xml:space="preserve">Нет этапа «Назначен курьер»: после «Готов к доставке» сразу «В пути»</t>
  </si>
  <si>
    <t xml:space="preserve">1. Мерчант: «Готов к доставке».
2. Курьер: принять заказ.
3. Оператор: история и статус.</t>
  </si>
  <si>
    <t xml:space="preserve">16:39 «Готов к доставке» → 16:39 «В пути» (без автора); «Назначен курьер» / «Передан курьеру» нет; в карточке нет курьера.</t>
  </si>
  <si>
    <t xml:space="preserve">Отдельные статусы принятия и получения заказа курьером; курьер в карточке.</t>
  </si>
  <si>
    <t xml:space="preserve">Уточнить, нажимал ли курьер «Забрал» сразу после принятия</t>
  </si>
  <si>
    <t xml:space="preserve">BUG-D09</t>
  </si>
  <si>
    <t xml:space="preserve">Ссылка «Telegram службы поддержки» ведёт на oastify.com</t>
  </si>
  <si>
    <t xml:space="preserve">1. Открыть панель.
2. Посмотреть адрес ссылки «Telegram» в блоке поддержки (не переходить).</t>
  </si>
  <si>
    <t xml:space="preserve">https://fl4yjwfo617p0uoubrh8dhu1nstjhb50.oastify.com/offHands (домен Burp Collaborator).</t>
  </si>
  <si>
    <t xml:space="preserve">Официальный Telegram службы поддержки.</t>
  </si>
  <si>
    <t xml:space="preserve">панель, 29.09</t>
  </si>
  <si>
    <t xml:space="preserve">Безопасность: похоже на оставленный тестовый или подменённый URL. Передать разработчикам, по ссылке не переходить</t>
  </si>
  <si>
    <t xml:space="preserve">BUG-D10</t>
  </si>
  <si>
    <t xml:space="preserve">После входа оператора — 403 на /dashboard</t>
  </si>
  <si>
    <t xml:space="preserve">1. Войти под ролью оператора (ссылка входа с redirect=/dashboard).</t>
  </si>
  <si>
    <t xml:space="preserve">Страница «403 Нет доступа».</t>
  </si>
  <si>
    <t xml:space="preserve">Сразу раздел «Заказы».</t>
  </si>
  <si>
    <t xml:space="preserve">BUG-D11</t>
  </si>
  <si>
    <t xml:space="preserve">В меню оператора видны недоступные разделы</t>
  </si>
  <si>
    <t xml:space="preserve">1. Войти под ролью оператора.
2. Посмотреть боковое меню.</t>
  </si>
  <si>
    <t xml:space="preserve">Видны «Мой магазин», «Магазины», «POS», «Таксопарки», «Курьеры», «Пользователи»; доступны только «Заказы».</t>
  </si>
  <si>
    <t xml:space="preserve">Показаны только доступные роли разделы.</t>
  </si>
  <si>
    <t xml:space="preserve">Trivial</t>
  </si>
  <si>
    <t xml:space="preserve">BUG-D12</t>
  </si>
  <si>
    <t xml:space="preserve">«Всего: 1 заказов» — неверное склонение</t>
  </si>
  <si>
    <t xml:space="preserve">1. Отфильтровать список так, чтобы остался 1 заказ.</t>
  </si>
  <si>
    <t xml:space="preserve">«Всего: 1 заказов».</t>
  </si>
  <si>
    <t xml:space="preserve">«Всего: 1 заказ».</t>
  </si>
  <si>
    <t xml:space="preserve">Вопрос</t>
  </si>
  <si>
    <t xml:space="preserve">Связано с</t>
  </si>
  <si>
    <t xml:space="preserve">Ответ</t>
  </si>
  <si>
    <t xml:space="preserve">Дата ответа</t>
  </si>
  <si>
    <t xml:space="preserve">Q-D01</t>
  </si>
  <si>
    <t xml:space="preserve">В панели нет статуса «Ожидает»: заказ сразу «Подтверждён» (история «Корзина → Подтверждён»). Какой статус означает «ждём подтверждения магазина» (экран 01), а какой — «магазин принял»?</t>
  </si>
  <si>
    <t xml:space="preserve">TRK-01, DLV-01, OPR-01</t>
  </si>
  <si>
    <t xml:space="preserve">Q-D02</t>
  </si>
  <si>
    <t xml:space="preserve">В панели нет статуса «Курьер на месте» и признаков проблем (замена, задержки, клиент недоступен). Как оператор должен узнавать о них?</t>
  </si>
  <si>
    <t xml:space="preserve">DLV-06, OPR-06</t>
  </si>
  <si>
    <t xml:space="preserve">Q-D03</t>
  </si>
  <si>
    <t xml:space="preserve">На экране 01 в сборке есть отмена клиентом, в макете её нет. Что правильно?</t>
  </si>
  <si>
    <t xml:space="preserve">CNL-01…CNL-04</t>
  </si>
  <si>
    <t xml:space="preserve">Q-D04</t>
  </si>
  <si>
    <t xml:space="preserve">Итог не включает доставку (2 000 при доставке 12 000). Так задумано (доставка оплачивается курьеру отдельно) или это баг?</t>
  </si>
  <si>
    <t xml:space="preserve">BUG-D01, TRK-05</t>
  </si>
  <si>
    <t xml:space="preserve">Q-D05</t>
  </si>
  <si>
    <t xml:space="preserve">Значения таймеров: автоотмена без подтверждения, таймер замены, пороги задержки сборки / поиска курьера / доставки, ожидание у двери, таймаут «клиент недоступен → не доставлен».</t>
  </si>
  <si>
    <t xml:space="preserve">REJ-04, RPL-07, DLY-*, UNV-*</t>
  </si>
  <si>
    <t xml:space="preserve">Q-D06</t>
  </si>
  <si>
    <t xml:space="preserve">Что видит клиент при отклонении заказа, оплаченного наличными (01A без блока возврата)?</t>
  </si>
  <si>
    <t xml:space="preserve">Q-D07</t>
  </si>
  <si>
    <t xml:space="preserve">Что видит клиент после отмены мерчантом уже собираемого заказа и после решения по недоставке?</t>
  </si>
  <si>
    <t xml:space="preserve">REJ-05, UNV-06</t>
  </si>
  <si>
    <t xml:space="preserve">Q-D08</t>
  </si>
  <si>
    <t xml:space="preserve">Подсказка «Итог может измениться…» на 03 и 02A, где заказ уже собран, — нужна ли? С какого статуса сумма окончательная?</t>
  </si>
  <si>
    <t xml:space="preserve">Q-D09</t>
  </si>
  <si>
    <t xml:space="preserve">Как клиенту показывается автоудаление товаров по таймеру замены? Что происходит, если закончились все товары?</t>
  </si>
  <si>
    <t xml:space="preserve">RPL-07, RPL-09</t>
  </si>
  <si>
    <t xml:space="preserve">Q-D10</t>
  </si>
  <si>
    <t xml:space="preserve">02A: текст «Заказ уже собран», а степпер на шаге сборки. Что показывать, если курьера долго ищут, пока сборка ещё идёт?</t>
  </si>
  <si>
    <t xml:space="preserve">Q-D11</t>
  </si>
  <si>
    <t xml:space="preserve">Нужен ли на 05A таймер ожидания (на 05 он есть)?</t>
  </si>
  <si>
    <t xml:space="preserve">Q-D12</t>
  </si>
  <si>
    <t xml:space="preserve">Какой экран открывает «Выбрать» на 02B? В макете его нет.</t>
  </si>
  <si>
    <t xml:space="preserve">Q-D13</t>
  </si>
  <si>
    <t xml:space="preserve">Мелочи макета: на 04A время не жирное (на 02–04 жирное); на 01 «начнет» без «ё»; на 06 нет «Способа оплаты»; на 05B степпер красный на терминальном статусе.</t>
  </si>
  <si>
    <t xml:space="preserve">DLY-05, TRK-01, DLV-08, UNV-04</t>
  </si>
  <si>
    <t xml:space="preserve">Q-D14</t>
  </si>
  <si>
    <t xml:space="preserve">Какой статус панели соответствует недоставке (05B): «Возвращён» или другой?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</si>
</sst>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rgb="FF3A3A3A"/>
        <bgColor rgb="FF333300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3A3A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0B2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E4DFEC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FFF2CC"/>
          <bgColor rgb="FF000000"/>
        </patternFill>
      </fill>
    </dxf>
    <dxf>
      <fill>
        <patternFill>
          <bgColor rgb="FFE7E6E6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9C9C"/>
          <bgColor rgb="FF000000"/>
        </patternFill>
      </fill>
    </dxf>
    <dxf>
      <fill>
        <patternFill>
          <bgColor rgb="FFFF9C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DFE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E7E6E6"/>
      <rgbColor rgb="FF99CCFF"/>
      <rgbColor rgb="FFFF9C9C"/>
      <rgbColor rgb="FFFFC7CE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</row>
    <row r="4" customFormat="false" ht="23.85" hidden="false" customHeight="false" outlineLevel="0" collapsed="false">
      <c r="A4" s="4" t="s">
        <v>2</v>
      </c>
      <c r="B4" s="5" t="s">
        <v>3</v>
      </c>
    </row>
    <row r="5" customFormat="false" ht="23.85" hidden="false" customHeight="false" outlineLevel="0" collapsed="false">
      <c r="A5" s="4" t="s">
        <v>4</v>
      </c>
      <c r="B5" s="5" t="s">
        <v>5</v>
      </c>
    </row>
    <row r="6" customFormat="false" ht="23.8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2" t="s">
        <v>12</v>
      </c>
      <c r="B9" s="3"/>
    </row>
    <row r="10" customFormat="false" ht="23.85" hidden="false" customHeight="false" outlineLevel="0" collapsed="false">
      <c r="A10" s="4" t="s">
        <v>13</v>
      </c>
      <c r="B10" s="5" t="s">
        <v>14</v>
      </c>
    </row>
    <row r="11" customFormat="false" ht="23.85" hidden="false" customHeight="false" outlineLevel="0" collapsed="false">
      <c r="A11" s="4" t="s">
        <v>15</v>
      </c>
      <c r="B11" s="5" t="s">
        <v>16</v>
      </c>
    </row>
    <row r="12" customFormat="false" ht="23.85" hidden="false" customHeight="false" outlineLevel="0" collapsed="false">
      <c r="A12" s="4" t="s">
        <v>17</v>
      </c>
      <c r="B12" s="5" t="s">
        <v>18</v>
      </c>
    </row>
    <row r="13" customFormat="false" ht="23.85" hidden="false" customHeight="false" outlineLevel="0" collapsed="false">
      <c r="A13" s="4" t="s">
        <v>19</v>
      </c>
      <c r="B13" s="5" t="s">
        <v>20</v>
      </c>
    </row>
    <row r="14" customFormat="false" ht="26.85" hidden="false" customHeight="false" outlineLevel="0" collapsed="false">
      <c r="A14" s="2" t="s">
        <v>21</v>
      </c>
      <c r="B14" s="3"/>
    </row>
    <row r="15" customFormat="false" ht="23.85" hidden="false" customHeight="false" outlineLevel="0" collapsed="false">
      <c r="A15" s="4" t="s">
        <v>22</v>
      </c>
      <c r="B15" s="5" t="s">
        <v>23</v>
      </c>
    </row>
    <row r="16" customFormat="false" ht="15" hidden="false" customHeight="false" outlineLevel="0" collapsed="false">
      <c r="A16" s="4" t="s">
        <v>24</v>
      </c>
      <c r="B16" s="5" t="s">
        <v>25</v>
      </c>
    </row>
    <row r="17" customFormat="false" ht="15" hidden="false" customHeight="false" outlineLevel="0" collapsed="false">
      <c r="A17" s="4" t="s">
        <v>26</v>
      </c>
      <c r="B17" s="5" t="s">
        <v>27</v>
      </c>
    </row>
    <row r="18" customFormat="false" ht="15" hidden="false" customHeight="false" outlineLevel="0" collapsed="false">
      <c r="A18" s="2" t="s">
        <v>28</v>
      </c>
      <c r="B18" s="3"/>
    </row>
    <row r="19" customFormat="false" ht="15" hidden="false" customHeight="false" outlineLevel="0" collapsed="false">
      <c r="A19" s="4" t="s">
        <v>29</v>
      </c>
      <c r="B19" s="5" t="s">
        <v>30</v>
      </c>
    </row>
    <row r="20" customFormat="false" ht="15" hidden="false" customHeight="false" outlineLevel="0" collapsed="false">
      <c r="A20" s="4" t="s">
        <v>31</v>
      </c>
      <c r="B20" s="5" t="s">
        <v>32</v>
      </c>
    </row>
    <row r="21" customFormat="false" ht="15" hidden="false" customHeight="false" outlineLevel="0" collapsed="false">
      <c r="A21" s="4" t="s">
        <v>33</v>
      </c>
      <c r="B21" s="5" t="s">
        <v>34</v>
      </c>
    </row>
    <row r="22" customFormat="false" ht="15" hidden="false" customHeight="false" outlineLevel="0" collapsed="false">
      <c r="A22" s="4" t="s">
        <v>35</v>
      </c>
      <c r="B22" s="5" t="s">
        <v>36</v>
      </c>
    </row>
    <row r="23" customFormat="false" ht="15" hidden="false" customHeight="false" outlineLevel="0" collapsed="false">
      <c r="A23" s="2" t="s">
        <v>37</v>
      </c>
      <c r="B23" s="3"/>
    </row>
    <row r="24" customFormat="false" ht="15" hidden="false" customHeight="false" outlineLevel="0" collapsed="false">
      <c r="A24" s="4" t="s">
        <v>38</v>
      </c>
      <c r="B24" s="5" t="s">
        <v>39</v>
      </c>
    </row>
    <row r="25" customFormat="false" ht="15" hidden="false" customHeight="false" outlineLevel="0" collapsed="false">
      <c r="A25" s="4" t="s">
        <v>40</v>
      </c>
      <c r="B25" s="5" t="s">
        <v>41</v>
      </c>
    </row>
    <row r="26" customFormat="false" ht="23.85" hidden="false" customHeight="false" outlineLevel="0" collapsed="false">
      <c r="A26" s="4" t="s">
        <v>42</v>
      </c>
      <c r="B26" s="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5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6" t="s">
        <v>45</v>
      </c>
    </row>
    <row r="4" customFormat="false" ht="15" hidden="false" customHeight="false" outlineLevel="0" collapsed="false">
      <c r="A4" s="2" t="s">
        <v>46</v>
      </c>
      <c r="B4" s="3"/>
    </row>
    <row r="5" customFormat="false" ht="23.85" hidden="false" customHeight="false" outlineLevel="0" collapsed="false">
      <c r="A5" s="4" t="s">
        <v>47</v>
      </c>
      <c r="B5" s="5" t="s">
        <v>48</v>
      </c>
    </row>
    <row r="6" customFormat="false" ht="23.85" hidden="false" customHeight="false" outlineLevel="0" collapsed="false">
      <c r="A6" s="4" t="s">
        <v>49</v>
      </c>
      <c r="B6" s="5" t="s">
        <v>50</v>
      </c>
    </row>
    <row r="7" customFormat="false" ht="15" hidden="false" customHeight="false" outlineLevel="0" collapsed="false">
      <c r="A7" s="4" t="s">
        <v>51</v>
      </c>
      <c r="B7" s="5" t="s">
        <v>52</v>
      </c>
    </row>
    <row r="8" customFormat="false" ht="15" hidden="false" customHeight="false" outlineLevel="0" collapsed="false">
      <c r="A8" s="2" t="s">
        <v>53</v>
      </c>
      <c r="B8" s="3"/>
    </row>
    <row r="9" customFormat="false" ht="15" hidden="false" customHeight="false" outlineLevel="0" collapsed="false">
      <c r="A9" s="4" t="s">
        <v>54</v>
      </c>
      <c r="B9" s="5" t="s">
        <v>55</v>
      </c>
    </row>
    <row r="10" customFormat="false" ht="15" hidden="false" customHeight="false" outlineLevel="0" collapsed="false">
      <c r="A10" s="4" t="s">
        <v>56</v>
      </c>
      <c r="B10" s="5" t="s">
        <v>57</v>
      </c>
    </row>
    <row r="11" customFormat="false" ht="15" hidden="false" customHeight="false" outlineLevel="0" collapsed="false">
      <c r="A11" s="4" t="s">
        <v>58</v>
      </c>
      <c r="B11" s="5" t="s">
        <v>59</v>
      </c>
    </row>
    <row r="12" customFormat="false" ht="15" hidden="false" customHeight="false" outlineLevel="0" collapsed="false">
      <c r="A12" s="4" t="s">
        <v>60</v>
      </c>
      <c r="B12" s="5" t="s">
        <v>61</v>
      </c>
    </row>
    <row r="13" customFormat="false" ht="15" hidden="false" customHeight="false" outlineLevel="0" collapsed="false">
      <c r="A13" s="4" t="s">
        <v>62</v>
      </c>
      <c r="B13" s="5" t="s">
        <v>63</v>
      </c>
    </row>
    <row r="14" customFormat="false" ht="26.85" hidden="false" customHeight="false" outlineLevel="0" collapsed="false">
      <c r="A14" s="2" t="s">
        <v>64</v>
      </c>
      <c r="B14" s="3"/>
    </row>
    <row r="15" customFormat="false" ht="15" hidden="false" customHeight="false" outlineLevel="0" collapsed="false">
      <c r="A15" s="4" t="s">
        <v>65</v>
      </c>
      <c r="B15" s="5" t="s">
        <v>66</v>
      </c>
    </row>
    <row r="16" customFormat="false" ht="15" hidden="false" customHeight="false" outlineLevel="0" collapsed="false">
      <c r="A16" s="4" t="s">
        <v>67</v>
      </c>
      <c r="B16" s="5" t="s">
        <v>68</v>
      </c>
    </row>
    <row r="17" customFormat="false" ht="15" hidden="false" customHeight="false" outlineLevel="0" collapsed="false">
      <c r="A17" s="4" t="s">
        <v>69</v>
      </c>
      <c r="B17" s="5" t="s">
        <v>70</v>
      </c>
    </row>
    <row r="18" customFormat="false" ht="15" hidden="false" customHeight="false" outlineLevel="0" collapsed="false">
      <c r="A18" s="4" t="s">
        <v>71</v>
      </c>
      <c r="B18" s="5" t="s">
        <v>72</v>
      </c>
    </row>
    <row r="19" customFormat="false" ht="15" hidden="false" customHeight="false" outlineLevel="0" collapsed="false">
      <c r="A19" s="4" t="s">
        <v>73</v>
      </c>
      <c r="B19" s="5" t="s">
        <v>74</v>
      </c>
    </row>
    <row r="20" customFormat="false" ht="15" hidden="false" customHeight="false" outlineLevel="0" collapsed="false">
      <c r="A20" s="4" t="s">
        <v>75</v>
      </c>
      <c r="B20" s="5" t="s">
        <v>76</v>
      </c>
    </row>
    <row r="21" customFormat="false" ht="15" hidden="false" customHeight="false" outlineLevel="0" collapsed="false">
      <c r="A21" s="4" t="s">
        <v>77</v>
      </c>
      <c r="B21" s="5" t="s">
        <v>78</v>
      </c>
    </row>
    <row r="22" customFormat="false" ht="15" hidden="false" customHeight="false" outlineLevel="0" collapsed="false">
      <c r="A22" s="4" t="s">
        <v>79</v>
      </c>
      <c r="B22" s="5" t="s">
        <v>80</v>
      </c>
    </row>
    <row r="23" customFormat="false" ht="15" hidden="false" customHeight="false" outlineLevel="0" collapsed="false">
      <c r="A23" s="4" t="s">
        <v>81</v>
      </c>
      <c r="B23" s="5" t="s">
        <v>82</v>
      </c>
    </row>
    <row r="24" customFormat="false" ht="23.85" hidden="false" customHeight="false" outlineLevel="0" collapsed="false">
      <c r="A24" s="4" t="s">
        <v>83</v>
      </c>
      <c r="B24" s="5" t="s">
        <v>84</v>
      </c>
    </row>
    <row r="25" customFormat="false" ht="15" hidden="false" customHeight="false" outlineLevel="0" collapsed="false">
      <c r="A25" s="4" t="s">
        <v>85</v>
      </c>
      <c r="B25" s="5" t="s">
        <v>86</v>
      </c>
    </row>
    <row r="26" customFormat="false" ht="15" hidden="false" customHeight="false" outlineLevel="0" collapsed="false">
      <c r="A26" s="4" t="s">
        <v>87</v>
      </c>
      <c r="B26" s="5" t="s">
        <v>88</v>
      </c>
    </row>
    <row r="27" customFormat="false" ht="15" hidden="false" customHeight="false" outlineLevel="0" collapsed="false">
      <c r="A27" s="4" t="s">
        <v>89</v>
      </c>
      <c r="B27" s="5" t="s">
        <v>90</v>
      </c>
    </row>
    <row r="28" customFormat="false" ht="15" hidden="false" customHeight="false" outlineLevel="0" collapsed="false">
      <c r="A28" s="2" t="s">
        <v>91</v>
      </c>
      <c r="B28" s="3"/>
    </row>
    <row r="29" customFormat="false" ht="35.05" hidden="false" customHeight="false" outlineLevel="0" collapsed="false">
      <c r="A29" s="4" t="s">
        <v>92</v>
      </c>
      <c r="B29" s="5" t="s">
        <v>93</v>
      </c>
    </row>
    <row r="30" customFormat="false" ht="15" hidden="false" customHeight="false" outlineLevel="0" collapsed="false">
      <c r="A30" s="4" t="s">
        <v>94</v>
      </c>
      <c r="B30" s="5" t="s">
        <v>95</v>
      </c>
    </row>
    <row r="31" customFormat="false" ht="15" hidden="false" customHeight="false" outlineLevel="0" collapsed="false">
      <c r="A31" s="4" t="s">
        <v>96</v>
      </c>
      <c r="B31" s="5" t="s">
        <v>97</v>
      </c>
    </row>
    <row r="32" customFormat="false" ht="15" hidden="false" customHeight="false" outlineLevel="0" collapsed="false">
      <c r="A32" s="4" t="s">
        <v>98</v>
      </c>
      <c r="B32" s="5" t="s">
        <v>99</v>
      </c>
    </row>
    <row r="33" customFormat="false" ht="15" hidden="false" customHeight="false" outlineLevel="0" collapsed="false">
      <c r="A33" s="4" t="s">
        <v>100</v>
      </c>
      <c r="B33" s="5" t="s">
        <v>101</v>
      </c>
    </row>
    <row r="34" customFormat="false" ht="15" hidden="false" customHeight="false" outlineLevel="0" collapsed="false">
      <c r="A34" s="4" t="s">
        <v>102</v>
      </c>
      <c r="B34" s="5" t="s">
        <v>103</v>
      </c>
    </row>
    <row r="35" customFormat="false" ht="23.85" hidden="false" customHeight="false" outlineLevel="0" collapsed="false">
      <c r="A35" s="4" t="s">
        <v>104</v>
      </c>
      <c r="B35" s="5" t="s">
        <v>105</v>
      </c>
    </row>
    <row r="36" customFormat="false" ht="15" hidden="false" customHeight="false" outlineLevel="0" collapsed="false">
      <c r="A36" s="4" t="s">
        <v>106</v>
      </c>
      <c r="B36" s="5" t="s">
        <v>107</v>
      </c>
    </row>
    <row r="37" customFormat="false" ht="15" hidden="false" customHeight="false" outlineLevel="0" collapsed="false">
      <c r="A37" s="4" t="s">
        <v>108</v>
      </c>
      <c r="B37" s="5" t="s">
        <v>109</v>
      </c>
    </row>
    <row r="38" customFormat="false" ht="15" hidden="false" customHeight="false" outlineLevel="0" collapsed="false">
      <c r="A38" s="2" t="s">
        <v>110</v>
      </c>
      <c r="B38" s="3"/>
    </row>
    <row r="39" customFormat="false" ht="15" hidden="false" customHeight="false" outlineLevel="0" collapsed="false">
      <c r="A39" s="4" t="s">
        <v>111</v>
      </c>
      <c r="B39" s="5" t="s">
        <v>112</v>
      </c>
    </row>
    <row r="40" customFormat="false" ht="23.85" hidden="false" customHeight="false" outlineLevel="0" collapsed="false">
      <c r="A40" s="4" t="s">
        <v>113</v>
      </c>
      <c r="B40" s="5" t="s">
        <v>114</v>
      </c>
    </row>
    <row r="41" customFormat="false" ht="15" hidden="false" customHeight="false" outlineLevel="0" collapsed="false">
      <c r="A41" s="2" t="s">
        <v>115</v>
      </c>
      <c r="B41" s="3"/>
    </row>
    <row r="42" customFormat="false" ht="15" hidden="false" customHeight="false" outlineLevel="0" collapsed="false">
      <c r="A42" s="4" t="s">
        <v>116</v>
      </c>
      <c r="B42" s="5" t="s">
        <v>117</v>
      </c>
    </row>
    <row r="43" customFormat="false" ht="23.85" hidden="false" customHeight="false" outlineLevel="0" collapsed="false">
      <c r="A43" s="4" t="s">
        <v>118</v>
      </c>
      <c r="B43" s="5" t="s">
        <v>119</v>
      </c>
    </row>
    <row r="44" customFormat="false" ht="15" hidden="false" customHeight="false" outlineLevel="0" collapsed="false">
      <c r="A44" s="4" t="s">
        <v>120</v>
      </c>
      <c r="B44" s="5" t="s">
        <v>121</v>
      </c>
    </row>
    <row r="45" customFormat="false" ht="15" hidden="false" customHeight="false" outlineLevel="0" collapsed="false">
      <c r="A45" s="2" t="s">
        <v>122</v>
      </c>
      <c r="B45" s="3"/>
    </row>
    <row r="46" customFormat="false" ht="15" hidden="false" customHeight="false" outlineLevel="0" collapsed="false">
      <c r="A46" s="4" t="s">
        <v>123</v>
      </c>
      <c r="B46" s="5" t="s">
        <v>124</v>
      </c>
    </row>
    <row r="47" customFormat="false" ht="15" hidden="false" customHeight="false" outlineLevel="0" collapsed="false">
      <c r="A47" s="4" t="s">
        <v>125</v>
      </c>
      <c r="B47" s="5" t="s">
        <v>126</v>
      </c>
    </row>
    <row r="48" customFormat="false" ht="15" hidden="false" customHeight="false" outlineLevel="0" collapsed="false">
      <c r="A48" s="4" t="s">
        <v>127</v>
      </c>
      <c r="B48" s="5" t="s">
        <v>128</v>
      </c>
    </row>
    <row r="49" customFormat="false" ht="23.85" hidden="false" customHeight="false" outlineLevel="0" collapsed="false">
      <c r="A49" s="4" t="s">
        <v>129</v>
      </c>
      <c r="B49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4"/>
    <col collapsed="false" customWidth="true" hidden="false" outlineLevel="0" max="14" min="14" style="0" width="18"/>
    <col collapsed="false" customWidth="true" hidden="false" outlineLevel="0" max="15" min="15" style="0" width="9"/>
  </cols>
  <sheetData>
    <row r="1" customFormat="false" ht="23.85" hidden="false" customHeight="false" outlineLevel="0" collapsed="false">
      <c r="A1" s="7" t="s">
        <v>131</v>
      </c>
      <c r="B1" s="7" t="s">
        <v>132</v>
      </c>
      <c r="C1" s="7" t="s">
        <v>133</v>
      </c>
      <c r="D1" s="7" t="s">
        <v>134</v>
      </c>
      <c r="E1" s="7" t="s">
        <v>135</v>
      </c>
      <c r="F1" s="7" t="s">
        <v>136</v>
      </c>
      <c r="G1" s="7" t="s">
        <v>137</v>
      </c>
      <c r="H1" s="7" t="s">
        <v>138</v>
      </c>
      <c r="I1" s="7" t="s">
        <v>139</v>
      </c>
      <c r="J1" s="7" t="s">
        <v>140</v>
      </c>
      <c r="K1" s="7" t="s">
        <v>141</v>
      </c>
      <c r="L1" s="7" t="s">
        <v>142</v>
      </c>
      <c r="N1" s="8" t="s">
        <v>143</v>
      </c>
      <c r="O1" s="8" t="s">
        <v>144</v>
      </c>
    </row>
    <row r="2" customFormat="false" ht="79.85" hidden="false" customHeight="false" outlineLevel="0" collapsed="false">
      <c r="A2" s="9" t="s">
        <v>145</v>
      </c>
      <c r="B2" s="10" t="s">
        <v>146</v>
      </c>
      <c r="C2" s="10" t="s">
        <v>147</v>
      </c>
      <c r="D2" s="10" t="s">
        <v>148</v>
      </c>
      <c r="E2" s="10" t="s">
        <v>149</v>
      </c>
      <c r="F2" s="10" t="s">
        <v>150</v>
      </c>
      <c r="G2" s="9" t="s">
        <v>151</v>
      </c>
      <c r="H2" s="9" t="s">
        <v>152</v>
      </c>
      <c r="I2" s="9" t="s">
        <v>22</v>
      </c>
      <c r="J2" s="9" t="s">
        <v>42</v>
      </c>
      <c r="K2" s="9"/>
      <c r="L2" s="10" t="s">
        <v>153</v>
      </c>
      <c r="N2" s="11" t="s">
        <v>154</v>
      </c>
      <c r="O2" s="12" t="n">
        <f aca="false">COUNTA(A2:A81)</f>
        <v>80</v>
      </c>
    </row>
    <row r="3" customFormat="false" ht="35.05" hidden="false" customHeight="false" outlineLevel="0" collapsed="false">
      <c r="A3" s="9" t="s">
        <v>155</v>
      </c>
      <c r="B3" s="10" t="s">
        <v>146</v>
      </c>
      <c r="C3" s="10" t="s">
        <v>156</v>
      </c>
      <c r="D3" s="10" t="s">
        <v>157</v>
      </c>
      <c r="E3" s="10" t="s">
        <v>158</v>
      </c>
      <c r="F3" s="10" t="s">
        <v>159</v>
      </c>
      <c r="G3" s="9" t="s">
        <v>160</v>
      </c>
      <c r="H3" s="9" t="s">
        <v>152</v>
      </c>
      <c r="I3" s="9" t="s">
        <v>24</v>
      </c>
      <c r="J3" s="9" t="s">
        <v>42</v>
      </c>
      <c r="K3" s="9"/>
      <c r="L3" s="10" t="s">
        <v>161</v>
      </c>
      <c r="N3" s="11" t="s">
        <v>22</v>
      </c>
      <c r="O3" s="12" t="n">
        <f aca="false">COUNTIF(I2:I81,"Smoke")</f>
        <v>11</v>
      </c>
    </row>
    <row r="4" customFormat="false" ht="91" hidden="false" customHeight="false" outlineLevel="0" collapsed="false">
      <c r="A4" s="9" t="s">
        <v>162</v>
      </c>
      <c r="B4" s="10" t="s">
        <v>146</v>
      </c>
      <c r="C4" s="10" t="s">
        <v>163</v>
      </c>
      <c r="D4" s="10" t="s">
        <v>164</v>
      </c>
      <c r="E4" s="10" t="s">
        <v>165</v>
      </c>
      <c r="F4" s="10" t="s">
        <v>166</v>
      </c>
      <c r="G4" s="9" t="s">
        <v>160</v>
      </c>
      <c r="H4" s="9" t="s">
        <v>152</v>
      </c>
      <c r="I4" s="9" t="s">
        <v>24</v>
      </c>
      <c r="J4" s="9" t="s">
        <v>42</v>
      </c>
      <c r="K4" s="9"/>
      <c r="L4" s="10" t="s">
        <v>167</v>
      </c>
      <c r="N4" s="11" t="s">
        <v>168</v>
      </c>
      <c r="O4" s="12" t="n">
        <f aca="false">COUNTIF(I2:I81,"Smoke")+COUNTIF(I2:I81,"Sanity")</f>
        <v>58</v>
      </c>
    </row>
    <row r="5" customFormat="false" ht="79.85" hidden="false" customHeight="false" outlineLevel="0" collapsed="false">
      <c r="A5" s="9" t="s">
        <v>169</v>
      </c>
      <c r="B5" s="10" t="s">
        <v>170</v>
      </c>
      <c r="C5" s="10" t="s">
        <v>171</v>
      </c>
      <c r="D5" s="10" t="s">
        <v>172</v>
      </c>
      <c r="E5" s="10" t="s">
        <v>173</v>
      </c>
      <c r="F5" s="10" t="s">
        <v>174</v>
      </c>
      <c r="G5" s="9" t="s">
        <v>151</v>
      </c>
      <c r="H5" s="9" t="s">
        <v>152</v>
      </c>
      <c r="I5" s="9" t="s">
        <v>22</v>
      </c>
      <c r="J5" s="9" t="s">
        <v>42</v>
      </c>
      <c r="K5" s="9"/>
      <c r="L5" s="10" t="s">
        <v>175</v>
      </c>
      <c r="N5" s="11" t="s">
        <v>176</v>
      </c>
      <c r="O5" s="12" t="n">
        <f aca="false">COUNTA(A2:A81)</f>
        <v>80</v>
      </c>
    </row>
    <row r="6" customFormat="false" ht="23.85" hidden="false" customHeight="false" outlineLevel="0" collapsed="false">
      <c r="A6" s="9" t="s">
        <v>177</v>
      </c>
      <c r="B6" s="10" t="s">
        <v>170</v>
      </c>
      <c r="C6" s="10" t="s">
        <v>178</v>
      </c>
      <c r="D6" s="10" t="s">
        <v>179</v>
      </c>
      <c r="E6" s="10" t="s">
        <v>180</v>
      </c>
      <c r="F6" s="10" t="s">
        <v>181</v>
      </c>
      <c r="G6" s="9" t="s">
        <v>160</v>
      </c>
      <c r="H6" s="9" t="s">
        <v>152</v>
      </c>
      <c r="I6" s="9" t="s">
        <v>24</v>
      </c>
      <c r="J6" s="9" t="s">
        <v>42</v>
      </c>
      <c r="K6" s="9"/>
      <c r="L6" s="10"/>
      <c r="N6" s="11" t="s">
        <v>151</v>
      </c>
      <c r="O6" s="12" t="n">
        <f aca="false">COUNTIF(G2:G81,"P0")</f>
        <v>15</v>
      </c>
    </row>
    <row r="7" customFormat="false" ht="46.25" hidden="false" customHeight="false" outlineLevel="0" collapsed="false">
      <c r="A7" s="9" t="s">
        <v>182</v>
      </c>
      <c r="B7" s="10" t="s">
        <v>170</v>
      </c>
      <c r="C7" s="10" t="s">
        <v>183</v>
      </c>
      <c r="D7" s="10" t="s">
        <v>179</v>
      </c>
      <c r="E7" s="10" t="s">
        <v>184</v>
      </c>
      <c r="F7" s="10" t="s">
        <v>185</v>
      </c>
      <c r="G7" s="9" t="s">
        <v>160</v>
      </c>
      <c r="H7" s="9" t="s">
        <v>152</v>
      </c>
      <c r="I7" s="9" t="s">
        <v>24</v>
      </c>
      <c r="J7" s="9" t="s">
        <v>42</v>
      </c>
      <c r="K7" s="9"/>
      <c r="L7" s="10" t="s">
        <v>186</v>
      </c>
      <c r="N7" s="11" t="s">
        <v>160</v>
      </c>
      <c r="O7" s="12" t="n">
        <f aca="false">COUNTIF(G2:G81,"P1")</f>
        <v>46</v>
      </c>
    </row>
    <row r="8" customFormat="false" ht="23.85" hidden="false" customHeight="false" outlineLevel="0" collapsed="false">
      <c r="A8" s="9" t="s">
        <v>187</v>
      </c>
      <c r="B8" s="10" t="s">
        <v>170</v>
      </c>
      <c r="C8" s="10" t="s">
        <v>188</v>
      </c>
      <c r="D8" s="10" t="s">
        <v>179</v>
      </c>
      <c r="E8" s="10" t="s">
        <v>189</v>
      </c>
      <c r="F8" s="10" t="s">
        <v>190</v>
      </c>
      <c r="G8" s="9" t="s">
        <v>191</v>
      </c>
      <c r="H8" s="9" t="s">
        <v>152</v>
      </c>
      <c r="I8" s="9" t="s">
        <v>26</v>
      </c>
      <c r="J8" s="9" t="s">
        <v>42</v>
      </c>
      <c r="K8" s="9"/>
      <c r="L8" s="10"/>
      <c r="N8" s="11" t="s">
        <v>191</v>
      </c>
      <c r="O8" s="12" t="n">
        <f aca="false">COUNTIF(G2:G81,"P2")</f>
        <v>19</v>
      </c>
    </row>
    <row r="9" customFormat="false" ht="46.25" hidden="false" customHeight="false" outlineLevel="0" collapsed="false">
      <c r="A9" s="9" t="s">
        <v>192</v>
      </c>
      <c r="B9" s="10" t="s">
        <v>170</v>
      </c>
      <c r="C9" s="10" t="s">
        <v>193</v>
      </c>
      <c r="D9" s="10" t="s">
        <v>194</v>
      </c>
      <c r="E9" s="10" t="s">
        <v>195</v>
      </c>
      <c r="F9" s="10" t="s">
        <v>196</v>
      </c>
      <c r="G9" s="9" t="s">
        <v>151</v>
      </c>
      <c r="H9" s="9" t="s">
        <v>152</v>
      </c>
      <c r="I9" s="9" t="s">
        <v>22</v>
      </c>
      <c r="J9" s="9" t="s">
        <v>42</v>
      </c>
      <c r="K9" s="9"/>
      <c r="L9" s="10" t="s">
        <v>197</v>
      </c>
      <c r="N9" s="11" t="s">
        <v>198</v>
      </c>
      <c r="O9" s="12" t="n">
        <f aca="false">COUNTIF(H2:H81,"−")</f>
        <v>5</v>
      </c>
    </row>
    <row r="10" customFormat="false" ht="23.85" hidden="false" customHeight="false" outlineLevel="0" collapsed="false">
      <c r="A10" s="9" t="s">
        <v>199</v>
      </c>
      <c r="B10" s="10" t="s">
        <v>170</v>
      </c>
      <c r="C10" s="10" t="s">
        <v>200</v>
      </c>
      <c r="D10" s="10" t="s">
        <v>201</v>
      </c>
      <c r="E10" s="10" t="s">
        <v>202</v>
      </c>
      <c r="F10" s="10" t="s">
        <v>203</v>
      </c>
      <c r="G10" s="9" t="s">
        <v>191</v>
      </c>
      <c r="H10" s="9" t="s">
        <v>152</v>
      </c>
      <c r="I10" s="9" t="s">
        <v>26</v>
      </c>
      <c r="J10" s="9" t="s">
        <v>42</v>
      </c>
      <c r="K10" s="9"/>
      <c r="L10" s="10" t="s">
        <v>204</v>
      </c>
      <c r="N10" s="11" t="s">
        <v>42</v>
      </c>
      <c r="O10" s="12" t="n">
        <f aca="false">COUNTIF(J2:J81,"Реальный заказ")</f>
        <v>69</v>
      </c>
    </row>
    <row r="11" customFormat="false" ht="46.25" hidden="false" customHeight="false" outlineLevel="0" collapsed="false">
      <c r="A11" s="9" t="s">
        <v>205</v>
      </c>
      <c r="B11" s="10" t="s">
        <v>170</v>
      </c>
      <c r="C11" s="10" t="s">
        <v>206</v>
      </c>
      <c r="D11" s="10" t="s">
        <v>207</v>
      </c>
      <c r="E11" s="10" t="s">
        <v>208</v>
      </c>
      <c r="F11" s="10" t="s">
        <v>209</v>
      </c>
      <c r="G11" s="9" t="s">
        <v>160</v>
      </c>
      <c r="H11" s="9" t="s">
        <v>152</v>
      </c>
      <c r="I11" s="9" t="s">
        <v>24</v>
      </c>
      <c r="J11" s="9" t="s">
        <v>42</v>
      </c>
      <c r="K11" s="9"/>
      <c r="L11" s="10" t="s">
        <v>210</v>
      </c>
    </row>
    <row r="12" customFormat="false" ht="23.85" hidden="false" customHeight="false" outlineLevel="0" collapsed="false">
      <c r="A12" s="9" t="s">
        <v>211</v>
      </c>
      <c r="B12" s="10" t="s">
        <v>170</v>
      </c>
      <c r="C12" s="10" t="s">
        <v>212</v>
      </c>
      <c r="D12" s="10" t="s">
        <v>213</v>
      </c>
      <c r="E12" s="10" t="s">
        <v>214</v>
      </c>
      <c r="F12" s="10" t="s">
        <v>215</v>
      </c>
      <c r="G12" s="9" t="s">
        <v>160</v>
      </c>
      <c r="H12" s="9" t="s">
        <v>152</v>
      </c>
      <c r="I12" s="9" t="s">
        <v>24</v>
      </c>
      <c r="J12" s="9" t="s">
        <v>42</v>
      </c>
      <c r="K12" s="9"/>
      <c r="L12" s="10"/>
    </row>
    <row r="13" customFormat="false" ht="23.85" hidden="false" customHeight="false" outlineLevel="0" collapsed="false">
      <c r="A13" s="9" t="s">
        <v>216</v>
      </c>
      <c r="B13" s="10" t="s">
        <v>170</v>
      </c>
      <c r="C13" s="10" t="s">
        <v>217</v>
      </c>
      <c r="D13" s="10" t="s">
        <v>213</v>
      </c>
      <c r="E13" s="10" t="s">
        <v>218</v>
      </c>
      <c r="F13" s="10" t="s">
        <v>219</v>
      </c>
      <c r="G13" s="9" t="s">
        <v>191</v>
      </c>
      <c r="H13" s="9" t="s">
        <v>152</v>
      </c>
      <c r="I13" s="9" t="s">
        <v>26</v>
      </c>
      <c r="J13" s="9" t="s">
        <v>42</v>
      </c>
      <c r="K13" s="9"/>
      <c r="L13" s="10"/>
    </row>
    <row r="14" customFormat="false" ht="46.25" hidden="false" customHeight="false" outlineLevel="0" collapsed="false">
      <c r="A14" s="9" t="s">
        <v>220</v>
      </c>
      <c r="B14" s="10" t="s">
        <v>221</v>
      </c>
      <c r="C14" s="10" t="s">
        <v>222</v>
      </c>
      <c r="D14" s="10" t="s">
        <v>194</v>
      </c>
      <c r="E14" s="10" t="s">
        <v>223</v>
      </c>
      <c r="F14" s="10" t="s">
        <v>224</v>
      </c>
      <c r="G14" s="9" t="s">
        <v>151</v>
      </c>
      <c r="H14" s="9" t="s">
        <v>152</v>
      </c>
      <c r="I14" s="9" t="s">
        <v>22</v>
      </c>
      <c r="J14" s="9" t="s">
        <v>42</v>
      </c>
      <c r="K14" s="9"/>
      <c r="L14" s="10" t="s">
        <v>225</v>
      </c>
    </row>
    <row r="15" customFormat="false" ht="35.05" hidden="false" customHeight="false" outlineLevel="0" collapsed="false">
      <c r="A15" s="9" t="s">
        <v>226</v>
      </c>
      <c r="B15" s="10" t="s">
        <v>221</v>
      </c>
      <c r="C15" s="10" t="s">
        <v>227</v>
      </c>
      <c r="D15" s="10" t="s">
        <v>213</v>
      </c>
      <c r="E15" s="10" t="s">
        <v>228</v>
      </c>
      <c r="F15" s="10" t="s">
        <v>229</v>
      </c>
      <c r="G15" s="9" t="s">
        <v>160</v>
      </c>
      <c r="H15" s="9" t="s">
        <v>152</v>
      </c>
      <c r="I15" s="9" t="s">
        <v>24</v>
      </c>
      <c r="J15" s="9" t="s">
        <v>42</v>
      </c>
      <c r="K15" s="9"/>
      <c r="L15" s="10" t="s">
        <v>230</v>
      </c>
    </row>
    <row r="16" customFormat="false" ht="46.25" hidden="false" customHeight="false" outlineLevel="0" collapsed="false">
      <c r="A16" s="9" t="s">
        <v>231</v>
      </c>
      <c r="B16" s="10" t="s">
        <v>221</v>
      </c>
      <c r="C16" s="10" t="s">
        <v>232</v>
      </c>
      <c r="D16" s="10" t="s">
        <v>233</v>
      </c>
      <c r="E16" s="10" t="s">
        <v>234</v>
      </c>
      <c r="F16" s="10" t="s">
        <v>235</v>
      </c>
      <c r="G16" s="9" t="s">
        <v>151</v>
      </c>
      <c r="H16" s="9" t="s">
        <v>152</v>
      </c>
      <c r="I16" s="9" t="s">
        <v>22</v>
      </c>
      <c r="J16" s="9" t="s">
        <v>42</v>
      </c>
      <c r="K16" s="9"/>
      <c r="L16" s="10" t="s">
        <v>236</v>
      </c>
    </row>
    <row r="17" customFormat="false" ht="23.85" hidden="false" customHeight="false" outlineLevel="0" collapsed="false">
      <c r="A17" s="9" t="s">
        <v>237</v>
      </c>
      <c r="B17" s="10" t="s">
        <v>221</v>
      </c>
      <c r="C17" s="10" t="s">
        <v>238</v>
      </c>
      <c r="D17" s="10" t="s">
        <v>239</v>
      </c>
      <c r="E17" s="10" t="s">
        <v>240</v>
      </c>
      <c r="F17" s="10" t="s">
        <v>241</v>
      </c>
      <c r="G17" s="9" t="s">
        <v>160</v>
      </c>
      <c r="H17" s="9" t="s">
        <v>152</v>
      </c>
      <c r="I17" s="9" t="s">
        <v>24</v>
      </c>
      <c r="J17" s="9" t="s">
        <v>42</v>
      </c>
      <c r="K17" s="9"/>
      <c r="L17" s="10"/>
    </row>
    <row r="18" customFormat="false" ht="35.05" hidden="false" customHeight="false" outlineLevel="0" collapsed="false">
      <c r="A18" s="9" t="s">
        <v>242</v>
      </c>
      <c r="B18" s="10" t="s">
        <v>221</v>
      </c>
      <c r="C18" s="10" t="s">
        <v>243</v>
      </c>
      <c r="D18" s="10" t="s">
        <v>239</v>
      </c>
      <c r="E18" s="10" t="s">
        <v>244</v>
      </c>
      <c r="F18" s="10" t="s">
        <v>245</v>
      </c>
      <c r="G18" s="9" t="s">
        <v>151</v>
      </c>
      <c r="H18" s="9" t="s">
        <v>152</v>
      </c>
      <c r="I18" s="9" t="s">
        <v>22</v>
      </c>
      <c r="J18" s="9" t="s">
        <v>42</v>
      </c>
      <c r="K18" s="9"/>
      <c r="L18" s="10"/>
    </row>
    <row r="19" customFormat="false" ht="46.25" hidden="false" customHeight="false" outlineLevel="0" collapsed="false">
      <c r="A19" s="9" t="s">
        <v>246</v>
      </c>
      <c r="B19" s="10" t="s">
        <v>221</v>
      </c>
      <c r="C19" s="10" t="s">
        <v>247</v>
      </c>
      <c r="D19" s="10" t="s">
        <v>248</v>
      </c>
      <c r="E19" s="10" t="s">
        <v>249</v>
      </c>
      <c r="F19" s="10" t="s">
        <v>250</v>
      </c>
      <c r="G19" s="9" t="s">
        <v>151</v>
      </c>
      <c r="H19" s="9" t="s">
        <v>152</v>
      </c>
      <c r="I19" s="9" t="s">
        <v>22</v>
      </c>
      <c r="J19" s="9" t="s">
        <v>42</v>
      </c>
      <c r="K19" s="9"/>
      <c r="L19" s="10" t="s">
        <v>251</v>
      </c>
    </row>
    <row r="20" customFormat="false" ht="35.05" hidden="false" customHeight="false" outlineLevel="0" collapsed="false">
      <c r="A20" s="9" t="s">
        <v>252</v>
      </c>
      <c r="B20" s="10" t="s">
        <v>221</v>
      </c>
      <c r="C20" s="10" t="s">
        <v>253</v>
      </c>
      <c r="D20" s="10" t="s">
        <v>254</v>
      </c>
      <c r="E20" s="10" t="s">
        <v>255</v>
      </c>
      <c r="F20" s="10" t="s">
        <v>256</v>
      </c>
      <c r="G20" s="9" t="s">
        <v>160</v>
      </c>
      <c r="H20" s="9" t="s">
        <v>152</v>
      </c>
      <c r="I20" s="9" t="s">
        <v>24</v>
      </c>
      <c r="J20" s="9" t="s">
        <v>42</v>
      </c>
      <c r="K20" s="9"/>
      <c r="L20" s="10"/>
    </row>
    <row r="21" customFormat="false" ht="57.45" hidden="false" customHeight="false" outlineLevel="0" collapsed="false">
      <c r="A21" s="9" t="s">
        <v>257</v>
      </c>
      <c r="B21" s="10" t="s">
        <v>221</v>
      </c>
      <c r="C21" s="10" t="s">
        <v>258</v>
      </c>
      <c r="D21" s="10" t="s">
        <v>254</v>
      </c>
      <c r="E21" s="10" t="s">
        <v>259</v>
      </c>
      <c r="F21" s="10" t="s">
        <v>260</v>
      </c>
      <c r="G21" s="9" t="s">
        <v>151</v>
      </c>
      <c r="H21" s="9" t="s">
        <v>152</v>
      </c>
      <c r="I21" s="9" t="s">
        <v>22</v>
      </c>
      <c r="J21" s="9" t="s">
        <v>42</v>
      </c>
      <c r="K21" s="9"/>
      <c r="L21" s="10"/>
    </row>
    <row r="22" customFormat="false" ht="35.05" hidden="false" customHeight="false" outlineLevel="0" collapsed="false">
      <c r="A22" s="9" t="s">
        <v>261</v>
      </c>
      <c r="B22" s="10" t="s">
        <v>221</v>
      </c>
      <c r="C22" s="10" t="s">
        <v>262</v>
      </c>
      <c r="D22" s="10" t="s">
        <v>263</v>
      </c>
      <c r="E22" s="10" t="s">
        <v>264</v>
      </c>
      <c r="F22" s="10" t="s">
        <v>265</v>
      </c>
      <c r="G22" s="9" t="s">
        <v>160</v>
      </c>
      <c r="H22" s="9" t="s">
        <v>152</v>
      </c>
      <c r="I22" s="9" t="s">
        <v>24</v>
      </c>
      <c r="J22" s="9" t="s">
        <v>42</v>
      </c>
      <c r="K22" s="9"/>
      <c r="L22" s="10"/>
    </row>
    <row r="23" customFormat="false" ht="23.85" hidden="false" customHeight="false" outlineLevel="0" collapsed="false">
      <c r="A23" s="9" t="s">
        <v>266</v>
      </c>
      <c r="B23" s="10" t="s">
        <v>221</v>
      </c>
      <c r="C23" s="10" t="s">
        <v>267</v>
      </c>
      <c r="D23" s="10" t="s">
        <v>263</v>
      </c>
      <c r="E23" s="10" t="s">
        <v>268</v>
      </c>
      <c r="F23" s="10" t="s">
        <v>269</v>
      </c>
      <c r="G23" s="9" t="s">
        <v>191</v>
      </c>
      <c r="H23" s="9" t="s">
        <v>152</v>
      </c>
      <c r="I23" s="9" t="s">
        <v>26</v>
      </c>
      <c r="J23" s="9" t="s">
        <v>42</v>
      </c>
      <c r="K23" s="9"/>
      <c r="L23" s="10"/>
    </row>
    <row r="24" customFormat="false" ht="23.85" hidden="false" customHeight="false" outlineLevel="0" collapsed="false">
      <c r="A24" s="9" t="s">
        <v>270</v>
      </c>
      <c r="B24" s="10" t="s">
        <v>221</v>
      </c>
      <c r="C24" s="10" t="s">
        <v>271</v>
      </c>
      <c r="D24" s="10" t="s">
        <v>263</v>
      </c>
      <c r="E24" s="10" t="s">
        <v>272</v>
      </c>
      <c r="F24" s="10" t="s">
        <v>273</v>
      </c>
      <c r="G24" s="9" t="s">
        <v>160</v>
      </c>
      <c r="H24" s="9" t="s">
        <v>152</v>
      </c>
      <c r="I24" s="9" t="s">
        <v>24</v>
      </c>
      <c r="J24" s="9" t="s">
        <v>42</v>
      </c>
      <c r="K24" s="9"/>
      <c r="L24" s="10"/>
    </row>
    <row r="25" customFormat="false" ht="35.05" hidden="false" customHeight="false" outlineLevel="0" collapsed="false">
      <c r="A25" s="9" t="s">
        <v>274</v>
      </c>
      <c r="B25" s="10" t="s">
        <v>275</v>
      </c>
      <c r="C25" s="10" t="s">
        <v>276</v>
      </c>
      <c r="D25" s="10" t="s">
        <v>194</v>
      </c>
      <c r="E25" s="10" t="s">
        <v>277</v>
      </c>
      <c r="F25" s="10" t="s">
        <v>278</v>
      </c>
      <c r="G25" s="9" t="s">
        <v>160</v>
      </c>
      <c r="H25" s="9" t="s">
        <v>279</v>
      </c>
      <c r="I25" s="9" t="s">
        <v>24</v>
      </c>
      <c r="J25" s="9" t="s">
        <v>42</v>
      </c>
      <c r="K25" s="9"/>
      <c r="L25" s="10" t="s">
        <v>280</v>
      </c>
    </row>
    <row r="26" customFormat="false" ht="46.25" hidden="false" customHeight="false" outlineLevel="0" collapsed="false">
      <c r="A26" s="9" t="s">
        <v>281</v>
      </c>
      <c r="B26" s="10" t="s">
        <v>275</v>
      </c>
      <c r="C26" s="10" t="s">
        <v>282</v>
      </c>
      <c r="D26" s="10" t="s">
        <v>194</v>
      </c>
      <c r="E26" s="10" t="s">
        <v>283</v>
      </c>
      <c r="F26" s="10" t="s">
        <v>284</v>
      </c>
      <c r="G26" s="9" t="s">
        <v>160</v>
      </c>
      <c r="H26" s="9" t="s">
        <v>152</v>
      </c>
      <c r="I26" s="9" t="s">
        <v>24</v>
      </c>
      <c r="J26" s="9" t="s">
        <v>42</v>
      </c>
      <c r="K26" s="9"/>
      <c r="L26" s="10"/>
    </row>
    <row r="27" customFormat="false" ht="35.05" hidden="false" customHeight="false" outlineLevel="0" collapsed="false">
      <c r="A27" s="9" t="s">
        <v>285</v>
      </c>
      <c r="B27" s="10" t="s">
        <v>275</v>
      </c>
      <c r="C27" s="10" t="s">
        <v>286</v>
      </c>
      <c r="D27" s="10" t="s">
        <v>287</v>
      </c>
      <c r="E27" s="10" t="s">
        <v>288</v>
      </c>
      <c r="F27" s="10" t="s">
        <v>289</v>
      </c>
      <c r="G27" s="9" t="s">
        <v>160</v>
      </c>
      <c r="H27" s="9" t="s">
        <v>152</v>
      </c>
      <c r="I27" s="9" t="s">
        <v>26</v>
      </c>
      <c r="J27" s="9" t="s">
        <v>42</v>
      </c>
      <c r="K27" s="9"/>
      <c r="L27" s="10"/>
    </row>
    <row r="28" customFormat="false" ht="23.85" hidden="false" customHeight="false" outlineLevel="0" collapsed="false">
      <c r="A28" s="9" t="s">
        <v>290</v>
      </c>
      <c r="B28" s="10" t="s">
        <v>275</v>
      </c>
      <c r="C28" s="10" t="s">
        <v>291</v>
      </c>
      <c r="D28" s="10" t="s">
        <v>213</v>
      </c>
      <c r="E28" s="10" t="s">
        <v>292</v>
      </c>
      <c r="F28" s="10" t="s">
        <v>293</v>
      </c>
      <c r="G28" s="9" t="s">
        <v>160</v>
      </c>
      <c r="H28" s="9" t="s">
        <v>294</v>
      </c>
      <c r="I28" s="9" t="s">
        <v>24</v>
      </c>
      <c r="J28" s="9" t="s">
        <v>42</v>
      </c>
      <c r="K28" s="9"/>
      <c r="L28" s="10" t="s">
        <v>295</v>
      </c>
    </row>
    <row r="29" customFormat="false" ht="57.45" hidden="false" customHeight="false" outlineLevel="0" collapsed="false">
      <c r="A29" s="9" t="s">
        <v>296</v>
      </c>
      <c r="B29" s="10" t="s">
        <v>297</v>
      </c>
      <c r="C29" s="10" t="s">
        <v>298</v>
      </c>
      <c r="D29" s="10" t="s">
        <v>287</v>
      </c>
      <c r="E29" s="10" t="s">
        <v>299</v>
      </c>
      <c r="F29" s="10" t="s">
        <v>300</v>
      </c>
      <c r="G29" s="9" t="s">
        <v>151</v>
      </c>
      <c r="H29" s="9" t="s">
        <v>152</v>
      </c>
      <c r="I29" s="9" t="s">
        <v>24</v>
      </c>
      <c r="J29" s="9" t="s">
        <v>42</v>
      </c>
      <c r="K29" s="9"/>
      <c r="L29" s="10" t="s">
        <v>301</v>
      </c>
    </row>
    <row r="30" customFormat="false" ht="23.85" hidden="false" customHeight="false" outlineLevel="0" collapsed="false">
      <c r="A30" s="9" t="s">
        <v>302</v>
      </c>
      <c r="B30" s="10" t="s">
        <v>297</v>
      </c>
      <c r="C30" s="10" t="s">
        <v>303</v>
      </c>
      <c r="D30" s="10" t="s">
        <v>194</v>
      </c>
      <c r="E30" s="10" t="s">
        <v>304</v>
      </c>
      <c r="F30" s="10" t="s">
        <v>305</v>
      </c>
      <c r="G30" s="9" t="s">
        <v>160</v>
      </c>
      <c r="H30" s="9" t="s">
        <v>152</v>
      </c>
      <c r="I30" s="9" t="s">
        <v>24</v>
      </c>
      <c r="J30" s="9" t="s">
        <v>42</v>
      </c>
      <c r="K30" s="9"/>
      <c r="L30" s="10" t="s">
        <v>306</v>
      </c>
    </row>
    <row r="31" customFormat="false" ht="23.85" hidden="false" customHeight="false" outlineLevel="0" collapsed="false">
      <c r="A31" s="9" t="s">
        <v>307</v>
      </c>
      <c r="B31" s="10" t="s">
        <v>297</v>
      </c>
      <c r="C31" s="10" t="s">
        <v>308</v>
      </c>
      <c r="D31" s="10" t="s">
        <v>309</v>
      </c>
      <c r="E31" s="10" t="s">
        <v>310</v>
      </c>
      <c r="F31" s="10" t="s">
        <v>311</v>
      </c>
      <c r="G31" s="9" t="s">
        <v>160</v>
      </c>
      <c r="H31" s="9" t="s">
        <v>152</v>
      </c>
      <c r="I31" s="9" t="s">
        <v>24</v>
      </c>
      <c r="J31" s="9" t="s">
        <v>42</v>
      </c>
      <c r="K31" s="9"/>
      <c r="L31" s="10"/>
    </row>
    <row r="32" customFormat="false" ht="35.05" hidden="false" customHeight="false" outlineLevel="0" collapsed="false">
      <c r="A32" s="9" t="s">
        <v>312</v>
      </c>
      <c r="B32" s="10" t="s">
        <v>297</v>
      </c>
      <c r="C32" s="10" t="s">
        <v>313</v>
      </c>
      <c r="D32" s="10" t="s">
        <v>314</v>
      </c>
      <c r="E32" s="10" t="s">
        <v>315</v>
      </c>
      <c r="F32" s="10" t="s">
        <v>316</v>
      </c>
      <c r="G32" s="9" t="s">
        <v>191</v>
      </c>
      <c r="H32" s="9" t="s">
        <v>294</v>
      </c>
      <c r="I32" s="9" t="s">
        <v>26</v>
      </c>
      <c r="J32" s="9" t="s">
        <v>42</v>
      </c>
      <c r="K32" s="9"/>
      <c r="L32" s="10" t="s">
        <v>317</v>
      </c>
    </row>
    <row r="33" customFormat="false" ht="35.05" hidden="false" customHeight="false" outlineLevel="0" collapsed="false">
      <c r="A33" s="9" t="s">
        <v>318</v>
      </c>
      <c r="B33" s="10" t="s">
        <v>297</v>
      </c>
      <c r="C33" s="10" t="s">
        <v>319</v>
      </c>
      <c r="D33" s="10" t="s">
        <v>320</v>
      </c>
      <c r="E33" s="10" t="s">
        <v>321</v>
      </c>
      <c r="F33" s="10" t="s">
        <v>322</v>
      </c>
      <c r="G33" s="9" t="s">
        <v>191</v>
      </c>
      <c r="H33" s="9" t="s">
        <v>152</v>
      </c>
      <c r="I33" s="9" t="s">
        <v>26</v>
      </c>
      <c r="J33" s="9" t="s">
        <v>42</v>
      </c>
      <c r="K33" s="9"/>
      <c r="L33" s="10" t="s">
        <v>323</v>
      </c>
    </row>
    <row r="34" customFormat="false" ht="79.85" hidden="false" customHeight="false" outlineLevel="0" collapsed="false">
      <c r="A34" s="9" t="s">
        <v>324</v>
      </c>
      <c r="B34" s="10" t="s">
        <v>325</v>
      </c>
      <c r="C34" s="10" t="s">
        <v>326</v>
      </c>
      <c r="D34" s="10" t="s">
        <v>327</v>
      </c>
      <c r="E34" s="10" t="s">
        <v>328</v>
      </c>
      <c r="F34" s="10" t="s">
        <v>329</v>
      </c>
      <c r="G34" s="9" t="s">
        <v>151</v>
      </c>
      <c r="H34" s="9" t="s">
        <v>152</v>
      </c>
      <c r="I34" s="9" t="s">
        <v>24</v>
      </c>
      <c r="J34" s="9" t="s">
        <v>42</v>
      </c>
      <c r="K34" s="9"/>
      <c r="L34" s="10"/>
    </row>
    <row r="35" customFormat="false" ht="23.85" hidden="false" customHeight="false" outlineLevel="0" collapsed="false">
      <c r="A35" s="9" t="s">
        <v>330</v>
      </c>
      <c r="B35" s="10" t="s">
        <v>325</v>
      </c>
      <c r="C35" s="10" t="s">
        <v>331</v>
      </c>
      <c r="D35" s="10" t="s">
        <v>332</v>
      </c>
      <c r="E35" s="10" t="s">
        <v>333</v>
      </c>
      <c r="F35" s="10" t="s">
        <v>334</v>
      </c>
      <c r="G35" s="9" t="s">
        <v>151</v>
      </c>
      <c r="H35" s="9" t="s">
        <v>152</v>
      </c>
      <c r="I35" s="9" t="s">
        <v>24</v>
      </c>
      <c r="J35" s="9" t="s">
        <v>42</v>
      </c>
      <c r="K35" s="9"/>
      <c r="L35" s="10"/>
    </row>
    <row r="36" customFormat="false" ht="23.85" hidden="false" customHeight="false" outlineLevel="0" collapsed="false">
      <c r="A36" s="9" t="s">
        <v>335</v>
      </c>
      <c r="B36" s="10" t="s">
        <v>325</v>
      </c>
      <c r="C36" s="10" t="s">
        <v>336</v>
      </c>
      <c r="D36" s="10" t="s">
        <v>332</v>
      </c>
      <c r="E36" s="10" t="s">
        <v>337</v>
      </c>
      <c r="F36" s="10" t="s">
        <v>338</v>
      </c>
      <c r="G36" s="9" t="s">
        <v>160</v>
      </c>
      <c r="H36" s="9" t="s">
        <v>152</v>
      </c>
      <c r="I36" s="9" t="s">
        <v>26</v>
      </c>
      <c r="J36" s="9" t="s">
        <v>42</v>
      </c>
      <c r="K36" s="9"/>
      <c r="L36" s="10"/>
    </row>
    <row r="37" customFormat="false" ht="23.85" hidden="false" customHeight="false" outlineLevel="0" collapsed="false">
      <c r="A37" s="9" t="s">
        <v>339</v>
      </c>
      <c r="B37" s="10" t="s">
        <v>325</v>
      </c>
      <c r="C37" s="10" t="s">
        <v>340</v>
      </c>
      <c r="D37" s="10" t="s">
        <v>332</v>
      </c>
      <c r="E37" s="10" t="s">
        <v>341</v>
      </c>
      <c r="F37" s="10" t="s">
        <v>342</v>
      </c>
      <c r="G37" s="9" t="s">
        <v>160</v>
      </c>
      <c r="H37" s="9" t="s">
        <v>152</v>
      </c>
      <c r="I37" s="9" t="s">
        <v>26</v>
      </c>
      <c r="J37" s="9" t="s">
        <v>42</v>
      </c>
      <c r="K37" s="9"/>
      <c r="L37" s="10" t="s">
        <v>343</v>
      </c>
    </row>
    <row r="38" customFormat="false" ht="35.05" hidden="false" customHeight="false" outlineLevel="0" collapsed="false">
      <c r="A38" s="9" t="s">
        <v>344</v>
      </c>
      <c r="B38" s="10" t="s">
        <v>325</v>
      </c>
      <c r="C38" s="10" t="s">
        <v>345</v>
      </c>
      <c r="D38" s="10" t="s">
        <v>346</v>
      </c>
      <c r="E38" s="10" t="s">
        <v>347</v>
      </c>
      <c r="F38" s="10" t="s">
        <v>348</v>
      </c>
      <c r="G38" s="9" t="s">
        <v>151</v>
      </c>
      <c r="H38" s="9" t="s">
        <v>152</v>
      </c>
      <c r="I38" s="9" t="s">
        <v>24</v>
      </c>
      <c r="J38" s="9" t="s">
        <v>42</v>
      </c>
      <c r="K38" s="9"/>
      <c r="L38" s="10"/>
    </row>
    <row r="39" customFormat="false" ht="23.85" hidden="false" customHeight="false" outlineLevel="0" collapsed="false">
      <c r="A39" s="9" t="s">
        <v>349</v>
      </c>
      <c r="B39" s="10" t="s">
        <v>325</v>
      </c>
      <c r="C39" s="10" t="s">
        <v>350</v>
      </c>
      <c r="D39" s="10" t="s">
        <v>332</v>
      </c>
      <c r="E39" s="10" t="s">
        <v>351</v>
      </c>
      <c r="F39" s="10" t="s">
        <v>352</v>
      </c>
      <c r="G39" s="9" t="s">
        <v>160</v>
      </c>
      <c r="H39" s="9" t="s">
        <v>152</v>
      </c>
      <c r="I39" s="9" t="s">
        <v>24</v>
      </c>
      <c r="J39" s="9" t="s">
        <v>42</v>
      </c>
      <c r="K39" s="9"/>
      <c r="L39" s="10"/>
    </row>
    <row r="40" customFormat="false" ht="46.25" hidden="false" customHeight="false" outlineLevel="0" collapsed="false">
      <c r="A40" s="9" t="s">
        <v>353</v>
      </c>
      <c r="B40" s="10" t="s">
        <v>325</v>
      </c>
      <c r="C40" s="10" t="s">
        <v>354</v>
      </c>
      <c r="D40" s="10" t="s">
        <v>355</v>
      </c>
      <c r="E40" s="10" t="s">
        <v>356</v>
      </c>
      <c r="F40" s="10" t="s">
        <v>357</v>
      </c>
      <c r="G40" s="9" t="s">
        <v>160</v>
      </c>
      <c r="H40" s="9" t="s">
        <v>152</v>
      </c>
      <c r="I40" s="9" t="s">
        <v>24</v>
      </c>
      <c r="J40" s="9" t="s">
        <v>42</v>
      </c>
      <c r="K40" s="9"/>
      <c r="L40" s="10" t="s">
        <v>358</v>
      </c>
    </row>
    <row r="41" customFormat="false" ht="35.05" hidden="false" customHeight="false" outlineLevel="0" collapsed="false">
      <c r="A41" s="9" t="s">
        <v>359</v>
      </c>
      <c r="B41" s="10" t="s">
        <v>325</v>
      </c>
      <c r="C41" s="10" t="s">
        <v>360</v>
      </c>
      <c r="D41" s="10" t="s">
        <v>361</v>
      </c>
      <c r="E41" s="10" t="s">
        <v>362</v>
      </c>
      <c r="F41" s="10" t="s">
        <v>363</v>
      </c>
      <c r="G41" s="9" t="s">
        <v>160</v>
      </c>
      <c r="H41" s="9" t="s">
        <v>152</v>
      </c>
      <c r="I41" s="9" t="s">
        <v>24</v>
      </c>
      <c r="J41" s="9" t="s">
        <v>42</v>
      </c>
      <c r="K41" s="9"/>
      <c r="L41" s="10"/>
    </row>
    <row r="42" customFormat="false" ht="35.05" hidden="false" customHeight="false" outlineLevel="0" collapsed="false">
      <c r="A42" s="9" t="s">
        <v>364</v>
      </c>
      <c r="B42" s="10" t="s">
        <v>325</v>
      </c>
      <c r="C42" s="10" t="s">
        <v>365</v>
      </c>
      <c r="D42" s="10" t="s">
        <v>366</v>
      </c>
      <c r="E42" s="10" t="s">
        <v>367</v>
      </c>
      <c r="F42" s="10" t="s">
        <v>368</v>
      </c>
      <c r="G42" s="9" t="s">
        <v>191</v>
      </c>
      <c r="H42" s="9" t="s">
        <v>294</v>
      </c>
      <c r="I42" s="9" t="s">
        <v>26</v>
      </c>
      <c r="J42" s="9" t="s">
        <v>42</v>
      </c>
      <c r="K42" s="9"/>
      <c r="L42" s="10" t="s">
        <v>369</v>
      </c>
    </row>
    <row r="43" customFormat="false" ht="35.05" hidden="false" customHeight="false" outlineLevel="0" collapsed="false">
      <c r="A43" s="9" t="s">
        <v>370</v>
      </c>
      <c r="B43" s="10" t="s">
        <v>325</v>
      </c>
      <c r="C43" s="10" t="s">
        <v>371</v>
      </c>
      <c r="D43" s="10" t="s">
        <v>332</v>
      </c>
      <c r="E43" s="10" t="s">
        <v>372</v>
      </c>
      <c r="F43" s="10" t="s">
        <v>373</v>
      </c>
      <c r="G43" s="9" t="s">
        <v>191</v>
      </c>
      <c r="H43" s="9" t="s">
        <v>152</v>
      </c>
      <c r="I43" s="9" t="s">
        <v>26</v>
      </c>
      <c r="J43" s="9" t="s">
        <v>42</v>
      </c>
      <c r="K43" s="9"/>
      <c r="L43" s="10"/>
    </row>
    <row r="44" customFormat="false" ht="46.25" hidden="false" customHeight="false" outlineLevel="0" collapsed="false">
      <c r="A44" s="9" t="s">
        <v>374</v>
      </c>
      <c r="B44" s="10" t="s">
        <v>375</v>
      </c>
      <c r="C44" s="10" t="s">
        <v>376</v>
      </c>
      <c r="D44" s="10" t="s">
        <v>377</v>
      </c>
      <c r="E44" s="10" t="s">
        <v>378</v>
      </c>
      <c r="F44" s="10" t="s">
        <v>379</v>
      </c>
      <c r="G44" s="9" t="s">
        <v>160</v>
      </c>
      <c r="H44" s="9" t="s">
        <v>152</v>
      </c>
      <c r="I44" s="9" t="s">
        <v>24</v>
      </c>
      <c r="J44" s="9" t="s">
        <v>42</v>
      </c>
      <c r="K44" s="9"/>
      <c r="L44" s="10" t="s">
        <v>380</v>
      </c>
    </row>
    <row r="45" customFormat="false" ht="23.85" hidden="false" customHeight="false" outlineLevel="0" collapsed="false">
      <c r="A45" s="9" t="s">
        <v>381</v>
      </c>
      <c r="B45" s="10" t="s">
        <v>375</v>
      </c>
      <c r="C45" s="10" t="s">
        <v>382</v>
      </c>
      <c r="D45" s="10" t="s">
        <v>383</v>
      </c>
      <c r="E45" s="10" t="s">
        <v>384</v>
      </c>
      <c r="F45" s="10" t="s">
        <v>385</v>
      </c>
      <c r="G45" s="9" t="s">
        <v>160</v>
      </c>
      <c r="H45" s="9" t="s">
        <v>152</v>
      </c>
      <c r="I45" s="9" t="s">
        <v>24</v>
      </c>
      <c r="J45" s="9" t="s">
        <v>42</v>
      </c>
      <c r="K45" s="9"/>
      <c r="L45" s="10"/>
    </row>
    <row r="46" customFormat="false" ht="35.05" hidden="false" customHeight="false" outlineLevel="0" collapsed="false">
      <c r="A46" s="9" t="s">
        <v>386</v>
      </c>
      <c r="B46" s="10" t="s">
        <v>375</v>
      </c>
      <c r="C46" s="10" t="s">
        <v>387</v>
      </c>
      <c r="D46" s="10" t="s">
        <v>233</v>
      </c>
      <c r="E46" s="10" t="s">
        <v>388</v>
      </c>
      <c r="F46" s="10" t="s">
        <v>389</v>
      </c>
      <c r="G46" s="9" t="s">
        <v>160</v>
      </c>
      <c r="H46" s="9" t="s">
        <v>152</v>
      </c>
      <c r="I46" s="9" t="s">
        <v>24</v>
      </c>
      <c r="J46" s="9" t="s">
        <v>42</v>
      </c>
      <c r="K46" s="9"/>
      <c r="L46" s="10" t="s">
        <v>390</v>
      </c>
    </row>
    <row r="47" customFormat="false" ht="23.85" hidden="false" customHeight="false" outlineLevel="0" collapsed="false">
      <c r="A47" s="9" t="s">
        <v>391</v>
      </c>
      <c r="B47" s="10" t="s">
        <v>375</v>
      </c>
      <c r="C47" s="10" t="s">
        <v>392</v>
      </c>
      <c r="D47" s="10" t="s">
        <v>393</v>
      </c>
      <c r="E47" s="10" t="s">
        <v>394</v>
      </c>
      <c r="F47" s="10" t="s">
        <v>395</v>
      </c>
      <c r="G47" s="9" t="s">
        <v>160</v>
      </c>
      <c r="H47" s="9" t="s">
        <v>152</v>
      </c>
      <c r="I47" s="9" t="s">
        <v>24</v>
      </c>
      <c r="J47" s="9" t="s">
        <v>42</v>
      </c>
      <c r="K47" s="9"/>
      <c r="L47" s="10"/>
    </row>
    <row r="48" customFormat="false" ht="46.25" hidden="false" customHeight="false" outlineLevel="0" collapsed="false">
      <c r="A48" s="9" t="s">
        <v>396</v>
      </c>
      <c r="B48" s="10" t="s">
        <v>375</v>
      </c>
      <c r="C48" s="10" t="s">
        <v>397</v>
      </c>
      <c r="D48" s="10" t="s">
        <v>398</v>
      </c>
      <c r="E48" s="10" t="s">
        <v>399</v>
      </c>
      <c r="F48" s="10" t="s">
        <v>400</v>
      </c>
      <c r="G48" s="9" t="s">
        <v>160</v>
      </c>
      <c r="H48" s="9" t="s">
        <v>152</v>
      </c>
      <c r="I48" s="9" t="s">
        <v>24</v>
      </c>
      <c r="J48" s="9" t="s">
        <v>42</v>
      </c>
      <c r="K48" s="9"/>
      <c r="L48" s="10" t="s">
        <v>401</v>
      </c>
    </row>
    <row r="49" customFormat="false" ht="23.85" hidden="false" customHeight="false" outlineLevel="0" collapsed="false">
      <c r="A49" s="9" t="s">
        <v>402</v>
      </c>
      <c r="B49" s="10" t="s">
        <v>375</v>
      </c>
      <c r="C49" s="10" t="s">
        <v>403</v>
      </c>
      <c r="D49" s="10" t="s">
        <v>404</v>
      </c>
      <c r="E49" s="10" t="s">
        <v>405</v>
      </c>
      <c r="F49" s="10" t="s">
        <v>406</v>
      </c>
      <c r="G49" s="9" t="s">
        <v>160</v>
      </c>
      <c r="H49" s="9" t="s">
        <v>152</v>
      </c>
      <c r="I49" s="9" t="s">
        <v>24</v>
      </c>
      <c r="J49" s="9" t="s">
        <v>42</v>
      </c>
      <c r="K49" s="9"/>
      <c r="L49" s="10"/>
    </row>
    <row r="50" customFormat="false" ht="23.85" hidden="false" customHeight="false" outlineLevel="0" collapsed="false">
      <c r="A50" s="9" t="s">
        <v>407</v>
      </c>
      <c r="B50" s="10" t="s">
        <v>375</v>
      </c>
      <c r="C50" s="10" t="s">
        <v>408</v>
      </c>
      <c r="D50" s="10" t="s">
        <v>404</v>
      </c>
      <c r="E50" s="10" t="s">
        <v>409</v>
      </c>
      <c r="F50" s="10" t="s">
        <v>410</v>
      </c>
      <c r="G50" s="9" t="s">
        <v>191</v>
      </c>
      <c r="H50" s="9" t="s">
        <v>152</v>
      </c>
      <c r="I50" s="9" t="s">
        <v>26</v>
      </c>
      <c r="J50" s="9" t="s">
        <v>42</v>
      </c>
      <c r="K50" s="9"/>
      <c r="L50" s="10"/>
    </row>
    <row r="51" customFormat="false" ht="46.25" hidden="false" customHeight="false" outlineLevel="0" collapsed="false">
      <c r="A51" s="9" t="s">
        <v>411</v>
      </c>
      <c r="B51" s="10" t="s">
        <v>412</v>
      </c>
      <c r="C51" s="10" t="s">
        <v>413</v>
      </c>
      <c r="D51" s="10" t="s">
        <v>254</v>
      </c>
      <c r="E51" s="10" t="s">
        <v>414</v>
      </c>
      <c r="F51" s="10" t="s">
        <v>415</v>
      </c>
      <c r="G51" s="9" t="s">
        <v>160</v>
      </c>
      <c r="H51" s="9" t="s">
        <v>152</v>
      </c>
      <c r="I51" s="9" t="s">
        <v>24</v>
      </c>
      <c r="J51" s="9" t="s">
        <v>42</v>
      </c>
      <c r="K51" s="9"/>
      <c r="L51" s="10" t="s">
        <v>416</v>
      </c>
    </row>
    <row r="52" customFormat="false" ht="23.85" hidden="false" customHeight="false" outlineLevel="0" collapsed="false">
      <c r="A52" s="9" t="s">
        <v>417</v>
      </c>
      <c r="B52" s="10" t="s">
        <v>412</v>
      </c>
      <c r="C52" s="10" t="s">
        <v>418</v>
      </c>
      <c r="D52" s="10" t="s">
        <v>419</v>
      </c>
      <c r="E52" s="10" t="s">
        <v>420</v>
      </c>
      <c r="F52" s="10" t="s">
        <v>421</v>
      </c>
      <c r="G52" s="9" t="s">
        <v>160</v>
      </c>
      <c r="H52" s="9" t="s">
        <v>152</v>
      </c>
      <c r="I52" s="9" t="s">
        <v>24</v>
      </c>
      <c r="J52" s="9" t="s">
        <v>42</v>
      </c>
      <c r="K52" s="9"/>
      <c r="L52" s="10"/>
    </row>
    <row r="53" customFormat="false" ht="23.85" hidden="false" customHeight="false" outlineLevel="0" collapsed="false">
      <c r="A53" s="9" t="s">
        <v>422</v>
      </c>
      <c r="B53" s="10" t="s">
        <v>412</v>
      </c>
      <c r="C53" s="10" t="s">
        <v>423</v>
      </c>
      <c r="D53" s="10" t="s">
        <v>419</v>
      </c>
      <c r="E53" s="10" t="s">
        <v>424</v>
      </c>
      <c r="F53" s="10" t="s">
        <v>425</v>
      </c>
      <c r="G53" s="9" t="s">
        <v>160</v>
      </c>
      <c r="H53" s="9" t="s">
        <v>152</v>
      </c>
      <c r="I53" s="9" t="s">
        <v>24</v>
      </c>
      <c r="J53" s="9" t="s">
        <v>42</v>
      </c>
      <c r="K53" s="9"/>
      <c r="L53" s="10"/>
    </row>
    <row r="54" customFormat="false" ht="68.65" hidden="false" customHeight="false" outlineLevel="0" collapsed="false">
      <c r="A54" s="9" t="s">
        <v>426</v>
      </c>
      <c r="B54" s="10" t="s">
        <v>412</v>
      </c>
      <c r="C54" s="10" t="s">
        <v>427</v>
      </c>
      <c r="D54" s="10" t="s">
        <v>428</v>
      </c>
      <c r="E54" s="10" t="s">
        <v>429</v>
      </c>
      <c r="F54" s="10" t="s">
        <v>430</v>
      </c>
      <c r="G54" s="9" t="s">
        <v>160</v>
      </c>
      <c r="H54" s="9" t="s">
        <v>152</v>
      </c>
      <c r="I54" s="9" t="s">
        <v>24</v>
      </c>
      <c r="J54" s="9" t="s">
        <v>42</v>
      </c>
      <c r="K54" s="9"/>
      <c r="L54" s="10" t="s">
        <v>431</v>
      </c>
    </row>
    <row r="55" customFormat="false" ht="23.85" hidden="false" customHeight="false" outlineLevel="0" collapsed="false">
      <c r="A55" s="9" t="s">
        <v>432</v>
      </c>
      <c r="B55" s="10" t="s">
        <v>412</v>
      </c>
      <c r="C55" s="10" t="s">
        <v>433</v>
      </c>
      <c r="D55" s="10" t="s">
        <v>434</v>
      </c>
      <c r="E55" s="10" t="s">
        <v>435</v>
      </c>
      <c r="F55" s="10" t="s">
        <v>436</v>
      </c>
      <c r="G55" s="9" t="s">
        <v>191</v>
      </c>
      <c r="H55" s="9" t="s">
        <v>152</v>
      </c>
      <c r="I55" s="9" t="s">
        <v>26</v>
      </c>
      <c r="J55" s="9" t="s">
        <v>42</v>
      </c>
      <c r="K55" s="9"/>
      <c r="L55" s="10"/>
    </row>
    <row r="56" customFormat="false" ht="35.05" hidden="false" customHeight="false" outlineLevel="0" collapsed="false">
      <c r="A56" s="9" t="s">
        <v>437</v>
      </c>
      <c r="B56" s="10" t="s">
        <v>412</v>
      </c>
      <c r="C56" s="10" t="s">
        <v>438</v>
      </c>
      <c r="D56" s="10" t="s">
        <v>434</v>
      </c>
      <c r="E56" s="10" t="s">
        <v>439</v>
      </c>
      <c r="F56" s="10" t="s">
        <v>440</v>
      </c>
      <c r="G56" s="9" t="s">
        <v>160</v>
      </c>
      <c r="H56" s="9" t="s">
        <v>152</v>
      </c>
      <c r="I56" s="9" t="s">
        <v>24</v>
      </c>
      <c r="J56" s="9" t="s">
        <v>42</v>
      </c>
      <c r="K56" s="9"/>
      <c r="L56" s="10" t="s">
        <v>323</v>
      </c>
    </row>
    <row r="57" customFormat="false" ht="23.85" hidden="false" customHeight="false" outlineLevel="0" collapsed="false">
      <c r="A57" s="9" t="s">
        <v>441</v>
      </c>
      <c r="B57" s="10" t="s">
        <v>412</v>
      </c>
      <c r="C57" s="10" t="s">
        <v>442</v>
      </c>
      <c r="D57" s="10" t="s">
        <v>443</v>
      </c>
      <c r="E57" s="10" t="s">
        <v>272</v>
      </c>
      <c r="F57" s="10" t="s">
        <v>444</v>
      </c>
      <c r="G57" s="9" t="s">
        <v>191</v>
      </c>
      <c r="H57" s="9" t="s">
        <v>152</v>
      </c>
      <c r="I57" s="9" t="s">
        <v>26</v>
      </c>
      <c r="J57" s="9" t="s">
        <v>42</v>
      </c>
      <c r="K57" s="9"/>
      <c r="L57" s="10"/>
    </row>
    <row r="58" customFormat="false" ht="35.05" hidden="false" customHeight="false" outlineLevel="0" collapsed="false">
      <c r="A58" s="9" t="s">
        <v>445</v>
      </c>
      <c r="B58" s="10" t="s">
        <v>446</v>
      </c>
      <c r="C58" s="10" t="s">
        <v>447</v>
      </c>
      <c r="D58" s="10" t="s">
        <v>213</v>
      </c>
      <c r="E58" s="10" t="s">
        <v>448</v>
      </c>
      <c r="F58" s="10" t="s">
        <v>449</v>
      </c>
      <c r="G58" s="9" t="s">
        <v>160</v>
      </c>
      <c r="H58" s="9" t="s">
        <v>152</v>
      </c>
      <c r="I58" s="9" t="s">
        <v>24</v>
      </c>
      <c r="J58" s="9" t="s">
        <v>42</v>
      </c>
      <c r="K58" s="9"/>
      <c r="L58" s="10" t="s">
        <v>450</v>
      </c>
    </row>
    <row r="59" customFormat="false" ht="23.85" hidden="false" customHeight="false" outlineLevel="0" collapsed="false">
      <c r="A59" s="9" t="s">
        <v>451</v>
      </c>
      <c r="B59" s="10" t="s">
        <v>446</v>
      </c>
      <c r="C59" s="10" t="s">
        <v>452</v>
      </c>
      <c r="D59" s="10" t="s">
        <v>254</v>
      </c>
      <c r="E59" s="10" t="s">
        <v>351</v>
      </c>
      <c r="F59" s="10" t="s">
        <v>453</v>
      </c>
      <c r="G59" s="9" t="s">
        <v>160</v>
      </c>
      <c r="H59" s="9" t="s">
        <v>152</v>
      </c>
      <c r="I59" s="9" t="s">
        <v>24</v>
      </c>
      <c r="J59" s="9" t="s">
        <v>42</v>
      </c>
      <c r="K59" s="9"/>
      <c r="L59" s="10"/>
    </row>
    <row r="60" customFormat="false" ht="23.85" hidden="false" customHeight="false" outlineLevel="0" collapsed="false">
      <c r="A60" s="9" t="s">
        <v>454</v>
      </c>
      <c r="B60" s="10" t="s">
        <v>446</v>
      </c>
      <c r="C60" s="10" t="s">
        <v>455</v>
      </c>
      <c r="D60" s="10" t="s">
        <v>179</v>
      </c>
      <c r="E60" s="10" t="s">
        <v>456</v>
      </c>
      <c r="F60" s="10" t="s">
        <v>457</v>
      </c>
      <c r="G60" s="9" t="s">
        <v>191</v>
      </c>
      <c r="H60" s="9" t="s">
        <v>152</v>
      </c>
      <c r="I60" s="9" t="s">
        <v>26</v>
      </c>
      <c r="J60" s="9" t="s">
        <v>42</v>
      </c>
      <c r="K60" s="9"/>
      <c r="L60" s="10"/>
    </row>
    <row r="61" customFormat="false" ht="35.05" hidden="false" customHeight="false" outlineLevel="0" collapsed="false">
      <c r="A61" s="9" t="s">
        <v>458</v>
      </c>
      <c r="B61" s="10" t="s">
        <v>446</v>
      </c>
      <c r="C61" s="10" t="s">
        <v>459</v>
      </c>
      <c r="D61" s="10" t="s">
        <v>239</v>
      </c>
      <c r="E61" s="10" t="s">
        <v>460</v>
      </c>
      <c r="F61" s="10" t="s">
        <v>461</v>
      </c>
      <c r="G61" s="9" t="s">
        <v>160</v>
      </c>
      <c r="H61" s="9" t="s">
        <v>152</v>
      </c>
      <c r="I61" s="9" t="s">
        <v>24</v>
      </c>
      <c r="J61" s="9" t="s">
        <v>42</v>
      </c>
      <c r="K61" s="9"/>
      <c r="L61" s="10"/>
    </row>
    <row r="62" customFormat="false" ht="35.05" hidden="false" customHeight="false" outlineLevel="0" collapsed="false">
      <c r="A62" s="9" t="s">
        <v>462</v>
      </c>
      <c r="B62" s="10" t="s">
        <v>446</v>
      </c>
      <c r="C62" s="10" t="s">
        <v>463</v>
      </c>
      <c r="D62" s="10" t="s">
        <v>248</v>
      </c>
      <c r="E62" s="10" t="s">
        <v>464</v>
      </c>
      <c r="F62" s="10" t="s">
        <v>465</v>
      </c>
      <c r="G62" s="9" t="s">
        <v>160</v>
      </c>
      <c r="H62" s="9" t="s">
        <v>279</v>
      </c>
      <c r="I62" s="9" t="s">
        <v>24</v>
      </c>
      <c r="J62" s="9" t="s">
        <v>42</v>
      </c>
      <c r="K62" s="9"/>
      <c r="L62" s="10" t="s">
        <v>466</v>
      </c>
    </row>
    <row r="63" customFormat="false" ht="35.05" hidden="false" customHeight="false" outlineLevel="0" collapsed="false">
      <c r="A63" s="9" t="s">
        <v>467</v>
      </c>
      <c r="B63" s="10" t="s">
        <v>446</v>
      </c>
      <c r="C63" s="10" t="s">
        <v>468</v>
      </c>
      <c r="D63" s="10" t="s">
        <v>469</v>
      </c>
      <c r="E63" s="10" t="s">
        <v>470</v>
      </c>
      <c r="F63" s="10" t="s">
        <v>471</v>
      </c>
      <c r="G63" s="9" t="s">
        <v>160</v>
      </c>
      <c r="H63" s="9" t="s">
        <v>152</v>
      </c>
      <c r="I63" s="9" t="s">
        <v>24</v>
      </c>
      <c r="J63" s="9" t="s">
        <v>42</v>
      </c>
      <c r="K63" s="9"/>
      <c r="L63" s="10" t="s">
        <v>472</v>
      </c>
    </row>
    <row r="64" customFormat="false" ht="91" hidden="false" customHeight="false" outlineLevel="0" collapsed="false">
      <c r="A64" s="9" t="s">
        <v>473</v>
      </c>
      <c r="B64" s="10" t="s">
        <v>446</v>
      </c>
      <c r="C64" s="10" t="s">
        <v>474</v>
      </c>
      <c r="D64" s="10" t="s">
        <v>475</v>
      </c>
      <c r="E64" s="10" t="s">
        <v>476</v>
      </c>
      <c r="F64" s="10" t="s">
        <v>477</v>
      </c>
      <c r="G64" s="9" t="s">
        <v>160</v>
      </c>
      <c r="H64" s="9" t="s">
        <v>152</v>
      </c>
      <c r="I64" s="9" t="s">
        <v>24</v>
      </c>
      <c r="J64" s="9" t="s">
        <v>42</v>
      </c>
      <c r="K64" s="9"/>
      <c r="L64" s="10" t="s">
        <v>478</v>
      </c>
    </row>
    <row r="65" customFormat="false" ht="23.85" hidden="false" customHeight="false" outlineLevel="0" collapsed="false">
      <c r="A65" s="9" t="s">
        <v>479</v>
      </c>
      <c r="B65" s="10" t="s">
        <v>446</v>
      </c>
      <c r="C65" s="10" t="s">
        <v>480</v>
      </c>
      <c r="D65" s="10" t="s">
        <v>481</v>
      </c>
      <c r="E65" s="10" t="s">
        <v>482</v>
      </c>
      <c r="F65" s="10" t="s">
        <v>483</v>
      </c>
      <c r="G65" s="9" t="s">
        <v>191</v>
      </c>
      <c r="H65" s="9" t="s">
        <v>152</v>
      </c>
      <c r="I65" s="9" t="s">
        <v>26</v>
      </c>
      <c r="J65" s="9" t="s">
        <v>42</v>
      </c>
      <c r="K65" s="9"/>
      <c r="L65" s="10"/>
    </row>
    <row r="66" customFormat="false" ht="35.05" hidden="false" customHeight="false" outlineLevel="0" collapsed="false">
      <c r="A66" s="9" t="s">
        <v>484</v>
      </c>
      <c r="B66" s="10" t="s">
        <v>485</v>
      </c>
      <c r="C66" s="10" t="s">
        <v>486</v>
      </c>
      <c r="D66" s="10" t="s">
        <v>487</v>
      </c>
      <c r="E66" s="10" t="s">
        <v>488</v>
      </c>
      <c r="F66" s="10" t="s">
        <v>489</v>
      </c>
      <c r="G66" s="9" t="s">
        <v>151</v>
      </c>
      <c r="H66" s="9" t="s">
        <v>152</v>
      </c>
      <c r="I66" s="9" t="s">
        <v>22</v>
      </c>
      <c r="J66" s="9" t="s">
        <v>38</v>
      </c>
      <c r="K66" s="9"/>
      <c r="L66" s="10" t="s">
        <v>490</v>
      </c>
    </row>
    <row r="67" customFormat="false" ht="23.85" hidden="false" customHeight="false" outlineLevel="0" collapsed="false">
      <c r="A67" s="9" t="s">
        <v>491</v>
      </c>
      <c r="B67" s="10" t="s">
        <v>485</v>
      </c>
      <c r="C67" s="10" t="s">
        <v>492</v>
      </c>
      <c r="D67" s="10" t="s">
        <v>493</v>
      </c>
      <c r="E67" s="10" t="s">
        <v>494</v>
      </c>
      <c r="F67" s="10" t="s">
        <v>495</v>
      </c>
      <c r="G67" s="9" t="s">
        <v>151</v>
      </c>
      <c r="H67" s="9" t="s">
        <v>152</v>
      </c>
      <c r="I67" s="9" t="s">
        <v>22</v>
      </c>
      <c r="J67" s="9" t="s">
        <v>38</v>
      </c>
      <c r="K67" s="9"/>
      <c r="L67" s="10" t="s">
        <v>496</v>
      </c>
    </row>
    <row r="68" customFormat="false" ht="23.85" hidden="false" customHeight="false" outlineLevel="0" collapsed="false">
      <c r="A68" s="9" t="s">
        <v>497</v>
      </c>
      <c r="B68" s="10" t="s">
        <v>485</v>
      </c>
      <c r="C68" s="10" t="s">
        <v>498</v>
      </c>
      <c r="D68" s="10" t="s">
        <v>499</v>
      </c>
      <c r="E68" s="10" t="s">
        <v>500</v>
      </c>
      <c r="F68" s="10" t="s">
        <v>501</v>
      </c>
      <c r="G68" s="9" t="s">
        <v>160</v>
      </c>
      <c r="H68" s="9" t="s">
        <v>152</v>
      </c>
      <c r="I68" s="9" t="s">
        <v>24</v>
      </c>
      <c r="J68" s="9" t="s">
        <v>38</v>
      </c>
      <c r="K68" s="9"/>
      <c r="L68" s="10" t="s">
        <v>502</v>
      </c>
    </row>
    <row r="69" customFormat="false" ht="23.85" hidden="false" customHeight="false" outlineLevel="0" collapsed="false">
      <c r="A69" s="9" t="s">
        <v>503</v>
      </c>
      <c r="B69" s="10" t="s">
        <v>485</v>
      </c>
      <c r="C69" s="10" t="s">
        <v>504</v>
      </c>
      <c r="D69" s="10" t="s">
        <v>505</v>
      </c>
      <c r="E69" s="10" t="s">
        <v>506</v>
      </c>
      <c r="F69" s="10" t="s">
        <v>507</v>
      </c>
      <c r="G69" s="9" t="s">
        <v>160</v>
      </c>
      <c r="H69" s="9" t="s">
        <v>152</v>
      </c>
      <c r="I69" s="9" t="s">
        <v>24</v>
      </c>
      <c r="J69" s="9" t="s">
        <v>38</v>
      </c>
      <c r="K69" s="9"/>
      <c r="L69" s="10"/>
    </row>
    <row r="70" customFormat="false" ht="23.85" hidden="false" customHeight="false" outlineLevel="0" collapsed="false">
      <c r="A70" s="9" t="s">
        <v>508</v>
      </c>
      <c r="B70" s="10" t="s">
        <v>485</v>
      </c>
      <c r="C70" s="10" t="s">
        <v>509</v>
      </c>
      <c r="D70" s="10" t="s">
        <v>239</v>
      </c>
      <c r="E70" s="10" t="s">
        <v>510</v>
      </c>
      <c r="F70" s="10" t="s">
        <v>511</v>
      </c>
      <c r="G70" s="9" t="s">
        <v>160</v>
      </c>
      <c r="H70" s="9" t="s">
        <v>152</v>
      </c>
      <c r="I70" s="9" t="s">
        <v>24</v>
      </c>
      <c r="J70" s="9" t="s">
        <v>38</v>
      </c>
      <c r="K70" s="9"/>
      <c r="L70" s="10" t="s">
        <v>512</v>
      </c>
    </row>
    <row r="71" customFormat="false" ht="23.85" hidden="false" customHeight="false" outlineLevel="0" collapsed="false">
      <c r="A71" s="9" t="s">
        <v>513</v>
      </c>
      <c r="B71" s="10" t="s">
        <v>485</v>
      </c>
      <c r="C71" s="10" t="s">
        <v>514</v>
      </c>
      <c r="D71" s="10" t="s">
        <v>515</v>
      </c>
      <c r="E71" s="10" t="s">
        <v>516</v>
      </c>
      <c r="F71" s="10" t="s">
        <v>517</v>
      </c>
      <c r="G71" s="9" t="s">
        <v>160</v>
      </c>
      <c r="H71" s="9" t="s">
        <v>152</v>
      </c>
      <c r="I71" s="9" t="s">
        <v>24</v>
      </c>
      <c r="J71" s="9" t="s">
        <v>38</v>
      </c>
      <c r="K71" s="9"/>
      <c r="L71" s="10" t="s">
        <v>518</v>
      </c>
    </row>
    <row r="72" customFormat="false" ht="35.05" hidden="false" customHeight="false" outlineLevel="0" collapsed="false">
      <c r="A72" s="9" t="s">
        <v>519</v>
      </c>
      <c r="B72" s="10" t="s">
        <v>485</v>
      </c>
      <c r="C72" s="10" t="s">
        <v>520</v>
      </c>
      <c r="D72" s="10" t="s">
        <v>521</v>
      </c>
      <c r="E72" s="10" t="s">
        <v>522</v>
      </c>
      <c r="F72" s="10" t="s">
        <v>523</v>
      </c>
      <c r="G72" s="9" t="s">
        <v>191</v>
      </c>
      <c r="H72" s="9" t="s">
        <v>152</v>
      </c>
      <c r="I72" s="9" t="s">
        <v>26</v>
      </c>
      <c r="J72" s="9" t="s">
        <v>38</v>
      </c>
      <c r="K72" s="9"/>
      <c r="L72" s="10"/>
    </row>
    <row r="73" customFormat="false" ht="35.05" hidden="false" customHeight="false" outlineLevel="0" collapsed="false">
      <c r="A73" s="9" t="s">
        <v>524</v>
      </c>
      <c r="B73" s="10" t="s">
        <v>485</v>
      </c>
      <c r="C73" s="10" t="s">
        <v>525</v>
      </c>
      <c r="D73" s="10" t="s">
        <v>526</v>
      </c>
      <c r="E73" s="10" t="s">
        <v>527</v>
      </c>
      <c r="F73" s="10" t="s">
        <v>528</v>
      </c>
      <c r="G73" s="9" t="s">
        <v>191</v>
      </c>
      <c r="H73" s="9" t="s">
        <v>152</v>
      </c>
      <c r="I73" s="9" t="s">
        <v>26</v>
      </c>
      <c r="J73" s="9" t="s">
        <v>40</v>
      </c>
      <c r="K73" s="9"/>
      <c r="L73" s="10" t="s">
        <v>529</v>
      </c>
    </row>
    <row r="74" customFormat="false" ht="35.05" hidden="false" customHeight="false" outlineLevel="0" collapsed="false">
      <c r="A74" s="9" t="s">
        <v>530</v>
      </c>
      <c r="B74" s="10" t="s">
        <v>485</v>
      </c>
      <c r="C74" s="10" t="s">
        <v>531</v>
      </c>
      <c r="D74" s="10" t="s">
        <v>532</v>
      </c>
      <c r="E74" s="10" t="s">
        <v>533</v>
      </c>
      <c r="F74" s="10" t="s">
        <v>534</v>
      </c>
      <c r="G74" s="9" t="s">
        <v>191</v>
      </c>
      <c r="H74" s="9" t="s">
        <v>294</v>
      </c>
      <c r="I74" s="9" t="s">
        <v>26</v>
      </c>
      <c r="J74" s="9" t="s">
        <v>38</v>
      </c>
      <c r="K74" s="9"/>
      <c r="L74" s="10" t="s">
        <v>535</v>
      </c>
    </row>
    <row r="75" customFormat="false" ht="23.85" hidden="false" customHeight="false" outlineLevel="0" collapsed="false">
      <c r="A75" s="9" t="s">
        <v>536</v>
      </c>
      <c r="B75" s="10" t="s">
        <v>485</v>
      </c>
      <c r="C75" s="10" t="s">
        <v>537</v>
      </c>
      <c r="D75" s="10" t="s">
        <v>538</v>
      </c>
      <c r="E75" s="10" t="s">
        <v>539</v>
      </c>
      <c r="F75" s="10" t="s">
        <v>540</v>
      </c>
      <c r="G75" s="9" t="s">
        <v>160</v>
      </c>
      <c r="H75" s="9" t="s">
        <v>294</v>
      </c>
      <c r="I75" s="9" t="s">
        <v>24</v>
      </c>
      <c r="J75" s="9" t="s">
        <v>38</v>
      </c>
      <c r="K75" s="9"/>
      <c r="L75" s="10" t="s">
        <v>541</v>
      </c>
    </row>
    <row r="76" customFormat="false" ht="23.85" hidden="false" customHeight="false" outlineLevel="0" collapsed="false">
      <c r="A76" s="9" t="s">
        <v>542</v>
      </c>
      <c r="B76" s="10" t="s">
        <v>485</v>
      </c>
      <c r="C76" s="10" t="s">
        <v>543</v>
      </c>
      <c r="D76" s="10" t="s">
        <v>544</v>
      </c>
      <c r="E76" s="10" t="s">
        <v>545</v>
      </c>
      <c r="F76" s="10" t="s">
        <v>546</v>
      </c>
      <c r="G76" s="9" t="s">
        <v>191</v>
      </c>
      <c r="H76" s="9" t="s">
        <v>152</v>
      </c>
      <c r="I76" s="9" t="s">
        <v>26</v>
      </c>
      <c r="J76" s="9" t="s">
        <v>38</v>
      </c>
      <c r="K76" s="9"/>
      <c r="L76" s="10"/>
    </row>
    <row r="77" customFormat="false" ht="23.85" hidden="false" customHeight="false" outlineLevel="0" collapsed="false">
      <c r="A77" s="9" t="s">
        <v>547</v>
      </c>
      <c r="B77" s="10" t="s">
        <v>548</v>
      </c>
      <c r="C77" s="10" t="s">
        <v>549</v>
      </c>
      <c r="D77" s="10" t="s">
        <v>550</v>
      </c>
      <c r="E77" s="10" t="s">
        <v>551</v>
      </c>
      <c r="F77" s="10" t="s">
        <v>552</v>
      </c>
      <c r="G77" s="9" t="s">
        <v>151</v>
      </c>
      <c r="H77" s="9" t="s">
        <v>152</v>
      </c>
      <c r="I77" s="9" t="s">
        <v>22</v>
      </c>
      <c r="J77" s="9" t="s">
        <v>42</v>
      </c>
      <c r="K77" s="9"/>
      <c r="L77" s="10"/>
    </row>
    <row r="78" customFormat="false" ht="23.85" hidden="false" customHeight="false" outlineLevel="0" collapsed="false">
      <c r="A78" s="9" t="s">
        <v>553</v>
      </c>
      <c r="B78" s="10" t="s">
        <v>548</v>
      </c>
      <c r="C78" s="10" t="s">
        <v>554</v>
      </c>
      <c r="D78" s="10" t="s">
        <v>555</v>
      </c>
      <c r="E78" s="10" t="s">
        <v>556</v>
      </c>
      <c r="F78" s="10" t="s">
        <v>557</v>
      </c>
      <c r="G78" s="9" t="s">
        <v>160</v>
      </c>
      <c r="H78" s="9" t="s">
        <v>279</v>
      </c>
      <c r="I78" s="9" t="s">
        <v>24</v>
      </c>
      <c r="J78" s="9" t="s">
        <v>42</v>
      </c>
      <c r="K78" s="9"/>
      <c r="L78" s="10"/>
    </row>
    <row r="79" customFormat="false" ht="23.85" hidden="false" customHeight="false" outlineLevel="0" collapsed="false">
      <c r="A79" s="9" t="s">
        <v>558</v>
      </c>
      <c r="B79" s="10" t="s">
        <v>548</v>
      </c>
      <c r="C79" s="10" t="s">
        <v>559</v>
      </c>
      <c r="D79" s="10" t="s">
        <v>254</v>
      </c>
      <c r="E79" s="10" t="s">
        <v>560</v>
      </c>
      <c r="F79" s="10" t="s">
        <v>561</v>
      </c>
      <c r="G79" s="9" t="s">
        <v>191</v>
      </c>
      <c r="H79" s="9" t="s">
        <v>152</v>
      </c>
      <c r="I79" s="9" t="s">
        <v>26</v>
      </c>
      <c r="J79" s="9" t="s">
        <v>42</v>
      </c>
      <c r="K79" s="9"/>
      <c r="L79" s="10"/>
    </row>
    <row r="80" customFormat="false" ht="23.85" hidden="false" customHeight="false" outlineLevel="0" collapsed="false">
      <c r="A80" s="9" t="s">
        <v>562</v>
      </c>
      <c r="B80" s="10" t="s">
        <v>548</v>
      </c>
      <c r="C80" s="10" t="s">
        <v>563</v>
      </c>
      <c r="D80" s="10" t="s">
        <v>254</v>
      </c>
      <c r="E80" s="10" t="s">
        <v>564</v>
      </c>
      <c r="F80" s="10" t="s">
        <v>565</v>
      </c>
      <c r="G80" s="9" t="s">
        <v>160</v>
      </c>
      <c r="H80" s="9" t="s">
        <v>152</v>
      </c>
      <c r="I80" s="9" t="s">
        <v>24</v>
      </c>
      <c r="J80" s="9" t="s">
        <v>42</v>
      </c>
      <c r="K80" s="9"/>
      <c r="L80" s="10"/>
    </row>
    <row r="81" customFormat="false" ht="23.85" hidden="false" customHeight="false" outlineLevel="0" collapsed="false">
      <c r="A81" s="9" t="s">
        <v>566</v>
      </c>
      <c r="B81" s="10" t="s">
        <v>548</v>
      </c>
      <c r="C81" s="10" t="s">
        <v>567</v>
      </c>
      <c r="D81" s="10" t="s">
        <v>443</v>
      </c>
      <c r="E81" s="10" t="s">
        <v>568</v>
      </c>
      <c r="F81" s="10" t="s">
        <v>569</v>
      </c>
      <c r="G81" s="9" t="s">
        <v>191</v>
      </c>
      <c r="H81" s="9" t="s">
        <v>152</v>
      </c>
      <c r="I81" s="9" t="s">
        <v>26</v>
      </c>
      <c r="J81" s="9" t="s">
        <v>42</v>
      </c>
      <c r="K81" s="9"/>
      <c r="L81" s="10"/>
    </row>
  </sheetData>
  <autoFilter ref="A1:L81"/>
  <conditionalFormatting sqref="I2:I81">
    <cfRule type="cellIs" priority="2" operator="equal" aboveAverage="0" equalAverage="0" bottom="0" percent="0" rank="0" text="" dxfId="8">
      <formula>"Smoke"</formula>
    </cfRule>
    <cfRule type="cellIs" priority="3" operator="equal" aboveAverage="0" equalAverage="0" bottom="0" percent="0" rank="0" text="" dxfId="9">
      <formula>"Sanity"</formula>
    </cfRule>
    <cfRule type="cellIs" priority="4" operator="equal" aboveAverage="0" equalAverage="0" bottom="0" percent="0" rank="0" text="" dxfId="10">
      <formula>"Regression"</formula>
    </cfRule>
  </conditionalFormatting>
  <conditionalFormatting sqref="J2:J81">
    <cfRule type="cellIs" priority="5" operator="equal" aboveAverage="0" equalAverage="0" bottom="0" percent="0" rank="0" text="" dxfId="11">
      <formula>"Безопасно"</formula>
    </cfRule>
    <cfRule type="cellIs" priority="6" operator="equal" aboveAverage="0" equalAverage="0" bottom="0" percent="0" rank="0" text="" dxfId="9">
      <formula>"Меняет данные"</formula>
    </cfRule>
    <cfRule type="cellIs" priority="7" operator="equal" aboveAverage="0" equalAverage="0" bottom="0" percent="0" rank="0" text="" dxfId="8">
      <formula>"Реальный заказ"</formula>
    </cfRule>
    <cfRule type="cellIs" priority="8" operator="equal" aboveAverage="0" equalAverage="0" bottom="0" percent="0" rank="0" text="" dxfId="12">
      <formula>"Необратимо"</formula>
    </cfRule>
  </conditionalFormatting>
  <conditionalFormatting sqref="G2:G81">
    <cfRule type="cellIs" priority="9" operator="equal" aboveAverage="0" equalAverage="0" bottom="0" percent="0" rank="0" text="" dxfId="13">
      <formula>"P0"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570</v>
      </c>
    </row>
    <row r="3" customFormat="false" ht="15" hidden="false" customHeight="false" outlineLevel="0" collapsed="false">
      <c r="A3" s="13" t="s">
        <v>571</v>
      </c>
      <c r="B3" s="14" t="s">
        <v>572</v>
      </c>
      <c r="C3" s="14"/>
      <c r="E3" s="11" t="s">
        <v>154</v>
      </c>
      <c r="F3" s="12" t="n">
        <f aca="false">COUNTA($A$12:$A$91)</f>
        <v>80</v>
      </c>
      <c r="H3" s="15" t="s">
        <v>573</v>
      </c>
      <c r="I3" s="12" t="str">
        <f aca="false">COUNTIFS($E$12:$E$91,"Smoke",$G$12:$G$91,"&lt;&gt;")&amp;" из "&amp;COUNTIF($E$12:$E$91,"Smoke")</f>
        <v>0 из 11</v>
      </c>
    </row>
    <row r="4" customFormat="false" ht="15" hidden="false" customHeight="false" outlineLevel="0" collapsed="false">
      <c r="A4" s="13" t="s">
        <v>574</v>
      </c>
      <c r="B4" s="14"/>
      <c r="C4" s="14"/>
      <c r="E4" s="11" t="s">
        <v>29</v>
      </c>
      <c r="F4" s="12" t="n">
        <f aca="false">COUNTIF($G$12:$G$91,"Pass")</f>
        <v>0</v>
      </c>
      <c r="H4" s="15" t="s">
        <v>575</v>
      </c>
      <c r="I4" s="12" t="n">
        <f aca="false">COUNTIFS($E$12:$E$91,"Smoke",$G$12:$G$91,"Fail")</f>
        <v>0</v>
      </c>
    </row>
    <row r="5" customFormat="false" ht="15" hidden="false" customHeight="false" outlineLevel="0" collapsed="false">
      <c r="A5" s="13" t="s">
        <v>576</v>
      </c>
      <c r="B5" s="14"/>
      <c r="C5" s="14"/>
      <c r="E5" s="11" t="s">
        <v>31</v>
      </c>
      <c r="F5" s="12" t="n">
        <f aca="false">COUNTIF($G$12:$G$91,"Fail")</f>
        <v>0</v>
      </c>
      <c r="H5" s="15" t="s">
        <v>577</v>
      </c>
      <c r="I5" s="12" t="n">
        <f aca="false">COUNTIFS($D$12:$D$91,"P0",$G$12:$G$91,"Fail")</f>
        <v>0</v>
      </c>
    </row>
    <row r="6" customFormat="false" ht="15" hidden="false" customHeight="false" outlineLevel="0" collapsed="false">
      <c r="A6" s="13" t="s">
        <v>578</v>
      </c>
      <c r="B6" s="14"/>
      <c r="C6" s="14"/>
      <c r="E6" s="11" t="s">
        <v>33</v>
      </c>
      <c r="F6" s="12" t="n">
        <f aca="false">COUNTIF($G$12:$G$91,"Blocked")</f>
        <v>0</v>
      </c>
      <c r="H6" s="13" t="s">
        <v>579</v>
      </c>
      <c r="I6" s="12" t="str">
        <f aca="false">IF(I4&gt;0,"НЕ ГОДЕН: упал Smoke",IF(I5&gt;0,"НЕ ГОДЕН: упал P0",IF(COUNTIFS($E$12:$E$91,"Smoke",$G$12:$G$91,"")&gt;0,"Smoke не завершён","Smoke пройден")))</f>
        <v>Smoke не завершён</v>
      </c>
    </row>
    <row r="7" customFormat="false" ht="15" hidden="false" customHeight="false" outlineLevel="0" collapsed="false">
      <c r="A7" s="13" t="s">
        <v>580</v>
      </c>
      <c r="B7" s="14"/>
      <c r="C7" s="14"/>
      <c r="E7" s="11" t="s">
        <v>35</v>
      </c>
      <c r="F7" s="12" t="n">
        <f aca="false">COUNTIF($G$12:$G$91,"Skip")</f>
        <v>0</v>
      </c>
    </row>
    <row r="8" customFormat="false" ht="15" hidden="false" customHeight="false" outlineLevel="0" collapsed="false">
      <c r="A8" s="13" t="s">
        <v>581</v>
      </c>
      <c r="B8" s="14"/>
      <c r="C8" s="14"/>
      <c r="E8" s="11" t="s">
        <v>582</v>
      </c>
      <c r="F8" s="12" t="n">
        <f aca="false">F3-F4-F5-F6-F7</f>
        <v>80</v>
      </c>
    </row>
    <row r="9" customFormat="false" ht="15" hidden="false" customHeight="false" outlineLevel="0" collapsed="false">
      <c r="E9" s="11" t="s">
        <v>583</v>
      </c>
      <c r="F9" s="16" t="str">
        <f aca="false">IF(F4+F5+F6=0,"-",F4/(F4+F5+F6))</f>
        <v>-</v>
      </c>
    </row>
    <row r="10" customFormat="false" ht="15" hidden="false" customHeight="false" outlineLevel="0" collapsed="false">
      <c r="A10" s="6" t="s">
        <v>584</v>
      </c>
    </row>
    <row r="11" customFormat="false" ht="23.85" hidden="false" customHeight="false" outlineLevel="0" collapsed="false">
      <c r="A11" s="7" t="s">
        <v>131</v>
      </c>
      <c r="B11" s="7" t="s">
        <v>132</v>
      </c>
      <c r="C11" s="7" t="s">
        <v>133</v>
      </c>
      <c r="D11" s="7" t="s">
        <v>137</v>
      </c>
      <c r="E11" s="7" t="s">
        <v>139</v>
      </c>
      <c r="F11" s="7" t="s">
        <v>140</v>
      </c>
      <c r="G11" s="7" t="s">
        <v>585</v>
      </c>
      <c r="H11" s="7" t="s">
        <v>586</v>
      </c>
      <c r="I11" s="7" t="s">
        <v>587</v>
      </c>
    </row>
    <row r="12" customFormat="false" ht="15" hidden="false" customHeight="false" outlineLevel="0" collapsed="false">
      <c r="A12" s="9" t="s">
        <v>145</v>
      </c>
      <c r="B12" s="10" t="str">
        <f aca="false">IFERROR(INDEX('Тест-кейсы'!$B$2:$B$81,MATCH($A12,'Тест-кейсы'!$A$2:$A$81,0)),"")</f>
        <v>Оформление</v>
      </c>
      <c r="C12" s="10" t="str">
        <f aca="false">IFERROR(INDEX('Тест-кейсы'!$C$2:$C$81,MATCH($A12,'Тест-кейсы'!$A$2:$A$81,0)),"")</f>
        <v>Оформление заказа с доставкой, наличные</v>
      </c>
      <c r="D12" s="9" t="str">
        <f aca="false">IFERROR(INDEX('Тест-кейсы'!$G$2:$G$81,MATCH($A12,'Тест-кейсы'!$A$2:$A$81,0)),"")</f>
        <v>P0</v>
      </c>
      <c r="E12" s="9" t="str">
        <f aca="false">IFERROR(INDEX('Тест-кейсы'!$I$2:$I$81,MATCH($A12,'Тест-кейсы'!$A$2:$A$81,0)),"")</f>
        <v>Smoke</v>
      </c>
      <c r="F12" s="9" t="str">
        <f aca="false">IFERROR(INDEX('Тест-кейсы'!$J$2:$J$81,MATCH($A12,'Тест-кейсы'!$A$2:$A$81,0)),"")</f>
        <v>Реальный заказ</v>
      </c>
      <c r="G12" s="17"/>
      <c r="H12" s="17"/>
      <c r="I12" s="18"/>
    </row>
    <row r="13" customFormat="false" ht="15" hidden="false" customHeight="false" outlineLevel="0" collapsed="false">
      <c r="A13" s="9" t="s">
        <v>155</v>
      </c>
      <c r="B13" s="10" t="str">
        <f aca="false">IFERROR(INDEX('Тест-кейсы'!$B$2:$B$81,MATCH($A13,'Тест-кейсы'!$A$2:$A$81,0)),"")</f>
        <v>Оформление</v>
      </c>
      <c r="C13" s="10" t="str">
        <f aca="false">IFERROR(INDEX('Тест-кейсы'!$C$2:$C$81,MATCH($A13,'Тест-кейсы'!$A$2:$A$81,0)),"")</f>
        <v>Экран успеха после оформления</v>
      </c>
      <c r="D13" s="9" t="str">
        <f aca="false">IFERROR(INDEX('Тест-кейсы'!$G$2:$G$81,MATCH($A13,'Тест-кейсы'!$A$2:$A$81,0)),"")</f>
        <v>P1</v>
      </c>
      <c r="E13" s="9" t="str">
        <f aca="false">IFERROR(INDEX('Тест-кейсы'!$I$2:$I$81,MATCH($A13,'Тест-кейсы'!$A$2:$A$81,0)),"")</f>
        <v>Sanity</v>
      </c>
      <c r="F13" s="9" t="str">
        <f aca="false">IFERROR(INDEX('Тест-кейсы'!$J$2:$J$81,MATCH($A13,'Тест-кейсы'!$A$2:$A$81,0)),"")</f>
        <v>Реальный заказ</v>
      </c>
      <c r="G13" s="17"/>
      <c r="H13" s="17"/>
      <c r="I13" s="18"/>
    </row>
    <row r="14" customFormat="false" ht="15" hidden="false" customHeight="false" outlineLevel="0" collapsed="false">
      <c r="A14" s="9" t="s">
        <v>162</v>
      </c>
      <c r="B14" s="10" t="str">
        <f aca="false">IFERROR(INDEX('Тест-кейсы'!$B$2:$B$81,MATCH($A14,'Тест-кейсы'!$A$2:$A$81,0)),"")</f>
        <v>Оформление</v>
      </c>
      <c r="C14" s="10" t="str">
        <f aca="false">IFERROR(INDEX('Тест-кейсы'!$C$2:$C$81,MATCH($A14,'Тест-кейсы'!$A$2:$A$81,0)),"")</f>
        <v>Оформление заказа картой</v>
      </c>
      <c r="D14" s="9" t="str">
        <f aca="false">IFERROR(INDEX('Тест-кейсы'!$G$2:$G$81,MATCH($A14,'Тест-кейсы'!$A$2:$A$81,0)),"")</f>
        <v>P1</v>
      </c>
      <c r="E14" s="9" t="str">
        <f aca="false">IFERROR(INDEX('Тест-кейсы'!$I$2:$I$81,MATCH($A14,'Тест-кейсы'!$A$2:$A$81,0)),"")</f>
        <v>Sanity</v>
      </c>
      <c r="F14" s="9" t="str">
        <f aca="false">IFERROR(INDEX('Тест-кейсы'!$J$2:$J$81,MATCH($A14,'Тест-кейсы'!$A$2:$A$81,0)),"")</f>
        <v>Реальный заказ</v>
      </c>
      <c r="G14" s="17"/>
      <c r="H14" s="17"/>
      <c r="I14" s="18"/>
    </row>
    <row r="15" customFormat="false" ht="15" hidden="false" customHeight="false" outlineLevel="0" collapsed="false">
      <c r="A15" s="9" t="s">
        <v>169</v>
      </c>
      <c r="B15" s="10" t="str">
        <f aca="false">IFERROR(INDEX('Тест-кейсы'!$B$2:$B$81,MATCH($A15,'Тест-кейсы'!$A$2:$A$81,0)),"")</f>
        <v>Отслеживание</v>
      </c>
      <c r="C15" s="10" t="str">
        <f aca="false">IFERROR(INDEX('Тест-кейсы'!$C$2:$C$81,MATCH($A15,'Тест-кейсы'!$A$2:$A$81,0)),"")</f>
        <v>Экран 01 «Ждём подтверждения магазина»</v>
      </c>
      <c r="D15" s="9" t="str">
        <f aca="false">IFERROR(INDEX('Тест-кейсы'!$G$2:$G$81,MATCH($A15,'Тест-кейсы'!$A$2:$A$81,0)),"")</f>
        <v>P0</v>
      </c>
      <c r="E15" s="9" t="str">
        <f aca="false">IFERROR(INDEX('Тест-кейсы'!$I$2:$I$81,MATCH($A15,'Тест-кейсы'!$A$2:$A$81,0)),"")</f>
        <v>Smoke</v>
      </c>
      <c r="F15" s="9" t="str">
        <f aca="false">IFERROR(INDEX('Тест-кейсы'!$J$2:$J$81,MATCH($A15,'Тест-кейсы'!$A$2:$A$81,0)),"")</f>
        <v>Реальный заказ</v>
      </c>
      <c r="G15" s="17"/>
      <c r="H15" s="17"/>
      <c r="I15" s="18"/>
    </row>
    <row r="16" customFormat="false" ht="15" hidden="false" customHeight="false" outlineLevel="0" collapsed="false">
      <c r="A16" s="9" t="s">
        <v>177</v>
      </c>
      <c r="B16" s="10" t="str">
        <f aca="false">IFERROR(INDEX('Тест-кейсы'!$B$2:$B$81,MATCH($A16,'Тест-кейсы'!$A$2:$A$81,0)),"")</f>
        <v>Отслеживание</v>
      </c>
      <c r="C16" s="10" t="str">
        <f aca="false">IFERROR(INDEX('Тест-кейсы'!$C$2:$C$81,MATCH($A16,'Тест-кейсы'!$A$2:$A$81,0)),"")</f>
        <v>«Посмотреть» — состав заказа</v>
      </c>
      <c r="D16" s="9" t="str">
        <f aca="false">IFERROR(INDEX('Тест-кейсы'!$G$2:$G$81,MATCH($A16,'Тест-кейсы'!$A$2:$A$81,0)),"")</f>
        <v>P1</v>
      </c>
      <c r="E16" s="9" t="str">
        <f aca="false">IFERROR(INDEX('Тест-кейсы'!$I$2:$I$81,MATCH($A16,'Тест-кейсы'!$A$2:$A$81,0)),"")</f>
        <v>Sanity</v>
      </c>
      <c r="F16" s="9" t="str">
        <f aca="false">IFERROR(INDEX('Тест-кейсы'!$J$2:$J$81,MATCH($A16,'Тест-кейсы'!$A$2:$A$81,0)),"")</f>
        <v>Реальный заказ</v>
      </c>
      <c r="G16" s="17"/>
      <c r="H16" s="17"/>
      <c r="I16" s="18"/>
    </row>
    <row r="17" customFormat="false" ht="15" hidden="false" customHeight="false" outlineLevel="0" collapsed="false">
      <c r="A17" s="9" t="s">
        <v>182</v>
      </c>
      <c r="B17" s="10" t="str">
        <f aca="false">IFERROR(INDEX('Тест-кейсы'!$B$2:$B$81,MATCH($A17,'Тест-кейсы'!$A$2:$A$81,0)),"")</f>
        <v>Отслеживание</v>
      </c>
      <c r="C17" s="10" t="str">
        <f aca="false">IFERROR(INDEX('Тест-кейсы'!$C$2:$C$81,MATCH($A17,'Тест-кейсы'!$A$2:$A$81,0)),"")</f>
        <v>Кнопка «Помощь»</v>
      </c>
      <c r="D17" s="9" t="str">
        <f aca="false">IFERROR(INDEX('Тест-кейсы'!$G$2:$G$81,MATCH($A17,'Тест-кейсы'!$A$2:$A$81,0)),"")</f>
        <v>P1</v>
      </c>
      <c r="E17" s="9" t="str">
        <f aca="false">IFERROR(INDEX('Тест-кейсы'!$I$2:$I$81,MATCH($A17,'Тест-кейсы'!$A$2:$A$81,0)),"")</f>
        <v>Sanity</v>
      </c>
      <c r="F17" s="9" t="str">
        <f aca="false">IFERROR(INDEX('Тест-кейсы'!$J$2:$J$81,MATCH($A17,'Тест-кейсы'!$A$2:$A$81,0)),"")</f>
        <v>Реальный заказ</v>
      </c>
      <c r="G17" s="17"/>
      <c r="H17" s="17"/>
      <c r="I17" s="18"/>
    </row>
    <row r="18" customFormat="false" ht="15" hidden="false" customHeight="false" outlineLevel="0" collapsed="false">
      <c r="A18" s="9" t="s">
        <v>187</v>
      </c>
      <c r="B18" s="10" t="str">
        <f aca="false">IFERROR(INDEX('Тест-кейсы'!$B$2:$B$81,MATCH($A18,'Тест-кейсы'!$A$2:$A$81,0)),"")</f>
        <v>Отслеживание</v>
      </c>
      <c r="C18" s="10" t="str">
        <f aca="false">IFERROR(INDEX('Тест-кейсы'!$C$2:$C$81,MATCH($A18,'Тест-кейсы'!$A$2:$A$81,0)),"")</f>
        <v>Шеврон «свернуть» и возврат к заказу</v>
      </c>
      <c r="D18" s="9" t="str">
        <f aca="false">IFERROR(INDEX('Тест-кейсы'!$G$2:$G$81,MATCH($A18,'Тест-кейсы'!$A$2:$A$81,0)),"")</f>
        <v>P2</v>
      </c>
      <c r="E18" s="9" t="str">
        <f aca="false">IFERROR(INDEX('Тест-кейсы'!$I$2:$I$81,MATCH($A18,'Тест-кейсы'!$A$2:$A$81,0)),"")</f>
        <v>Regression</v>
      </c>
      <c r="F18" s="9" t="str">
        <f aca="false">IFERROR(INDEX('Тест-кейсы'!$J$2:$J$81,MATCH($A18,'Тест-кейсы'!$A$2:$A$81,0)),"")</f>
        <v>Реальный заказ</v>
      </c>
      <c r="G18" s="17"/>
      <c r="H18" s="17"/>
      <c r="I18" s="18"/>
    </row>
    <row r="19" customFormat="false" ht="15" hidden="false" customHeight="false" outlineLevel="0" collapsed="false">
      <c r="A19" s="9" t="s">
        <v>192</v>
      </c>
      <c r="B19" s="10" t="str">
        <f aca="false">IFERROR(INDEX('Тест-кейсы'!$B$2:$B$81,MATCH($A19,'Тест-кейсы'!$A$2:$A$81,0)),"")</f>
        <v>Отслеживание</v>
      </c>
      <c r="C19" s="10" t="str">
        <f aca="false">IFERROR(INDEX('Тест-кейсы'!$C$2:$C$81,MATCH($A19,'Тест-кейсы'!$A$2:$A$81,0)),"")</f>
        <v>Блок «Общая стоимость»</v>
      </c>
      <c r="D19" s="9" t="str">
        <f aca="false">IFERROR(INDEX('Тест-кейсы'!$G$2:$G$81,MATCH($A19,'Тест-кейсы'!$A$2:$A$81,0)),"")</f>
        <v>P0</v>
      </c>
      <c r="E19" s="9" t="str">
        <f aca="false">IFERROR(INDEX('Тест-кейсы'!$I$2:$I$81,MATCH($A19,'Тест-кейсы'!$A$2:$A$81,0)),"")</f>
        <v>Smoke</v>
      </c>
      <c r="F19" s="9" t="str">
        <f aca="false">IFERROR(INDEX('Тест-кейсы'!$J$2:$J$81,MATCH($A19,'Тест-кейсы'!$A$2:$A$81,0)),"")</f>
        <v>Реальный заказ</v>
      </c>
      <c r="G19" s="17"/>
      <c r="H19" s="17"/>
      <c r="I19" s="18"/>
    </row>
    <row r="20" customFormat="false" ht="23.85" hidden="false" customHeight="false" outlineLevel="0" collapsed="false">
      <c r="A20" s="9" t="s">
        <v>199</v>
      </c>
      <c r="B20" s="10" t="str">
        <f aca="false">IFERROR(INDEX('Тест-кейсы'!$B$2:$B$81,MATCH($A20,'Тест-кейсы'!$A$2:$A$81,0)),"")</f>
        <v>Отслеживание</v>
      </c>
      <c r="C20" s="10" t="str">
        <f aca="false">IFERROR(INDEX('Тест-кейсы'!$C$2:$C$81,MATCH($A20,'Тест-кейсы'!$A$2:$A$81,0)),"")</f>
        <v>Подсказка «Итог может измениться…» по этапам</v>
      </c>
      <c r="D20" s="9" t="str">
        <f aca="false">IFERROR(INDEX('Тест-кейсы'!$G$2:$G$81,MATCH($A20,'Тест-кейсы'!$A$2:$A$81,0)),"")</f>
        <v>P2</v>
      </c>
      <c r="E20" s="9" t="str">
        <f aca="false">IFERROR(INDEX('Тест-кейсы'!$I$2:$I$81,MATCH($A20,'Тест-кейсы'!$A$2:$A$81,0)),"")</f>
        <v>Regression</v>
      </c>
      <c r="F20" s="9" t="str">
        <f aca="false">IFERROR(INDEX('Тест-кейсы'!$J$2:$J$81,MATCH($A20,'Тест-кейсы'!$A$2:$A$81,0)),"")</f>
        <v>Реальный заказ</v>
      </c>
      <c r="G20" s="17"/>
      <c r="H20" s="17"/>
      <c r="I20" s="18"/>
    </row>
    <row r="21" customFormat="false" ht="15" hidden="false" customHeight="false" outlineLevel="0" collapsed="false">
      <c r="A21" s="9" t="s">
        <v>205</v>
      </c>
      <c r="B21" s="10" t="str">
        <f aca="false">IFERROR(INDEX('Тест-кейсы'!$B$2:$B$81,MATCH($A21,'Тест-кейсы'!$A$2:$A$81,0)),"")</f>
        <v>Отслеживание</v>
      </c>
      <c r="C21" s="10" t="str">
        <f aca="false">IFERROR(INDEX('Тест-кейсы'!$C$2:$C$81,MATCH($A21,'Тест-кейсы'!$A$2:$A$81,0)),"")</f>
        <v>Степпер соответствует этапу</v>
      </c>
      <c r="D21" s="9" t="str">
        <f aca="false">IFERROR(INDEX('Тест-кейсы'!$G$2:$G$81,MATCH($A21,'Тест-кейсы'!$A$2:$A$81,0)),"")</f>
        <v>P1</v>
      </c>
      <c r="E21" s="9" t="str">
        <f aca="false">IFERROR(INDEX('Тест-кейсы'!$I$2:$I$81,MATCH($A21,'Тест-кейсы'!$A$2:$A$81,0)),"")</f>
        <v>Sanity</v>
      </c>
      <c r="F21" s="9" t="str">
        <f aca="false">IFERROR(INDEX('Тест-кейсы'!$J$2:$J$81,MATCH($A21,'Тест-кейсы'!$A$2:$A$81,0)),"")</f>
        <v>Реальный заказ</v>
      </c>
      <c r="G21" s="17"/>
      <c r="H21" s="17"/>
      <c r="I21" s="18"/>
    </row>
    <row r="22" customFormat="false" ht="15" hidden="false" customHeight="false" outlineLevel="0" collapsed="false">
      <c r="A22" s="9" t="s">
        <v>211</v>
      </c>
      <c r="B22" s="10" t="str">
        <f aca="false">IFERROR(INDEX('Тест-кейсы'!$B$2:$B$81,MATCH($A22,'Тест-кейсы'!$A$2:$A$81,0)),"")</f>
        <v>Отслеживание</v>
      </c>
      <c r="C22" s="10" t="str">
        <f aca="false">IFERROR(INDEX('Тест-кейсы'!$C$2:$C$81,MATCH($A22,'Тест-кейсы'!$A$2:$A$81,0)),"")</f>
        <v>Открытие активного заказа из «Заказов»</v>
      </c>
      <c r="D22" s="9" t="str">
        <f aca="false">IFERROR(INDEX('Тест-кейсы'!$G$2:$G$81,MATCH($A22,'Тест-кейсы'!$A$2:$A$81,0)),"")</f>
        <v>P1</v>
      </c>
      <c r="E22" s="9" t="str">
        <f aca="false">IFERROR(INDEX('Тест-кейсы'!$I$2:$I$81,MATCH($A22,'Тест-кейсы'!$A$2:$A$81,0)),"")</f>
        <v>Sanity</v>
      </c>
      <c r="F22" s="9" t="str">
        <f aca="false">IFERROR(INDEX('Тест-кейсы'!$J$2:$J$81,MATCH($A22,'Тест-кейсы'!$A$2:$A$81,0)),"")</f>
        <v>Реальный заказ</v>
      </c>
      <c r="G22" s="17"/>
      <c r="H22" s="17"/>
      <c r="I22" s="18"/>
    </row>
    <row r="23" customFormat="false" ht="15" hidden="false" customHeight="false" outlineLevel="0" collapsed="false">
      <c r="A23" s="9" t="s">
        <v>216</v>
      </c>
      <c r="B23" s="10" t="str">
        <f aca="false">IFERROR(INDEX('Тест-кейсы'!$B$2:$B$81,MATCH($A23,'Тест-кейсы'!$A$2:$A$81,0)),"")</f>
        <v>Отслеживание</v>
      </c>
      <c r="C23" s="10" t="str">
        <f aca="false">IFERROR(INDEX('Тест-кейсы'!$C$2:$C$81,MATCH($A23,'Тест-кейсы'!$A$2:$A$81,0)),"")</f>
        <v>Формат времени доставки</v>
      </c>
      <c r="D23" s="9" t="str">
        <f aca="false">IFERROR(INDEX('Тест-кейсы'!$G$2:$G$81,MATCH($A23,'Тест-кейсы'!$A$2:$A$81,0)),"")</f>
        <v>P2</v>
      </c>
      <c r="E23" s="9" t="str">
        <f aca="false">IFERROR(INDEX('Тест-кейсы'!$I$2:$I$81,MATCH($A23,'Тест-кейсы'!$A$2:$A$81,0)),"")</f>
        <v>Regression</v>
      </c>
      <c r="F23" s="9" t="str">
        <f aca="false">IFERROR(INDEX('Тест-кейсы'!$J$2:$J$81,MATCH($A23,'Тест-кейсы'!$A$2:$A$81,0)),"")</f>
        <v>Реальный заказ</v>
      </c>
      <c r="G23" s="17"/>
      <c r="H23" s="17"/>
      <c r="I23" s="18"/>
    </row>
    <row r="24" customFormat="false" ht="15" hidden="false" customHeight="false" outlineLevel="0" collapsed="false">
      <c r="A24" s="9" t="s">
        <v>220</v>
      </c>
      <c r="B24" s="10" t="str">
        <f aca="false">IFERROR(INDEX('Тест-кейсы'!$B$2:$B$81,MATCH($A24,'Тест-кейсы'!$A$2:$A$81,0)),"")</f>
        <v>Основной путь</v>
      </c>
      <c r="C24" s="10" t="str">
        <f aca="false">IFERROR(INDEX('Тест-кейсы'!$C$2:$C$81,MATCH($A24,'Тест-кейсы'!$A$2:$A$81,0)),"")</f>
        <v>Мерчант взял заказ в работу → экран 02</v>
      </c>
      <c r="D24" s="9" t="str">
        <f aca="false">IFERROR(INDEX('Тест-кейсы'!$G$2:$G$81,MATCH($A24,'Тест-кейсы'!$A$2:$A$81,0)),"")</f>
        <v>P0</v>
      </c>
      <c r="E24" s="9" t="str">
        <f aca="false">IFERROR(INDEX('Тест-кейсы'!$I$2:$I$81,MATCH($A24,'Тест-кейсы'!$A$2:$A$81,0)),"")</f>
        <v>Smoke</v>
      </c>
      <c r="F24" s="9" t="str">
        <f aca="false">IFERROR(INDEX('Тест-кейсы'!$J$2:$J$81,MATCH($A24,'Тест-кейсы'!$A$2:$A$81,0)),"")</f>
        <v>Реальный заказ</v>
      </c>
      <c r="G24" s="17"/>
      <c r="H24" s="17"/>
      <c r="I24" s="18"/>
    </row>
    <row r="25" customFormat="false" ht="15" hidden="false" customHeight="false" outlineLevel="0" collapsed="false">
      <c r="A25" s="9" t="s">
        <v>226</v>
      </c>
      <c r="B25" s="10" t="str">
        <f aca="false">IFERROR(INDEX('Тест-кейсы'!$B$2:$B$81,MATCH($A25,'Тест-кейсы'!$A$2:$A$81,0)),"")</f>
        <v>Основной путь</v>
      </c>
      <c r="C25" s="10" t="str">
        <f aca="false">IFERROR(INDEX('Тест-кейсы'!$C$2:$C$81,MATCH($A25,'Тест-кейсы'!$A$2:$A$81,0)),"")</f>
        <v>«Готов к доставке» — клиент остаётся на 02</v>
      </c>
      <c r="D25" s="9" t="str">
        <f aca="false">IFERROR(INDEX('Тест-кейсы'!$G$2:$G$81,MATCH($A25,'Тест-кейсы'!$A$2:$A$81,0)),"")</f>
        <v>P1</v>
      </c>
      <c r="E25" s="9" t="str">
        <f aca="false">IFERROR(INDEX('Тест-кейсы'!$I$2:$I$81,MATCH($A25,'Тест-кейсы'!$A$2:$A$81,0)),"")</f>
        <v>Sanity</v>
      </c>
      <c r="F25" s="9" t="str">
        <f aca="false">IFERROR(INDEX('Тест-кейсы'!$J$2:$J$81,MATCH($A25,'Тест-кейсы'!$A$2:$A$81,0)),"")</f>
        <v>Реальный заказ</v>
      </c>
      <c r="G25" s="17"/>
      <c r="H25" s="17"/>
      <c r="I25" s="18"/>
    </row>
    <row r="26" customFormat="false" ht="15" hidden="false" customHeight="false" outlineLevel="0" collapsed="false">
      <c r="A26" s="9" t="s">
        <v>231</v>
      </c>
      <c r="B26" s="10" t="str">
        <f aca="false">IFERROR(INDEX('Тест-кейсы'!$B$2:$B$81,MATCH($A26,'Тест-кейсы'!$A$2:$A$81,0)),"")</f>
        <v>Основной путь</v>
      </c>
      <c r="C26" s="10" t="str">
        <f aca="false">IFERROR(INDEX('Тест-кейсы'!$C$2:$C$81,MATCH($A26,'Тест-кейсы'!$A$2:$A$81,0)),"")</f>
        <v>Курьер принял заказ → экран 03</v>
      </c>
      <c r="D26" s="9" t="str">
        <f aca="false">IFERROR(INDEX('Тест-кейсы'!$G$2:$G$81,MATCH($A26,'Тест-кейсы'!$A$2:$A$81,0)),"")</f>
        <v>P0</v>
      </c>
      <c r="E26" s="9" t="str">
        <f aca="false">IFERROR(INDEX('Тест-кейсы'!$I$2:$I$81,MATCH($A26,'Тест-кейсы'!$A$2:$A$81,0)),"")</f>
        <v>Smoke</v>
      </c>
      <c r="F26" s="9" t="str">
        <f aca="false">IFERROR(INDEX('Тест-кейсы'!$J$2:$J$81,MATCH($A26,'Тест-кейсы'!$A$2:$A$81,0)),"")</f>
        <v>Реальный заказ</v>
      </c>
      <c r="G26" s="17"/>
      <c r="H26" s="17"/>
      <c r="I26" s="18"/>
    </row>
    <row r="27" customFormat="false" ht="15" hidden="false" customHeight="false" outlineLevel="0" collapsed="false">
      <c r="A27" s="9" t="s">
        <v>237</v>
      </c>
      <c r="B27" s="10" t="str">
        <f aca="false">IFERROR(INDEX('Тест-кейсы'!$B$2:$B$81,MATCH($A27,'Тест-кейсы'!$A$2:$A$81,0)),"")</f>
        <v>Основной путь</v>
      </c>
      <c r="C27" s="10" t="str">
        <f aca="false">IFERROR(INDEX('Тест-кейсы'!$C$2:$C$81,MATCH($A27,'Тест-кейсы'!$A$2:$A$81,0)),"")</f>
        <v>«Позвонить» в карточке курьера</v>
      </c>
      <c r="D27" s="9" t="str">
        <f aca="false">IFERROR(INDEX('Тест-кейсы'!$G$2:$G$81,MATCH($A27,'Тест-кейсы'!$A$2:$A$81,0)),"")</f>
        <v>P1</v>
      </c>
      <c r="E27" s="9" t="str">
        <f aca="false">IFERROR(INDEX('Тест-кейсы'!$I$2:$I$81,MATCH($A27,'Тест-кейсы'!$A$2:$A$81,0)),"")</f>
        <v>Sanity</v>
      </c>
      <c r="F27" s="9" t="str">
        <f aca="false">IFERROR(INDEX('Тест-кейсы'!$J$2:$J$81,MATCH($A27,'Тест-кейсы'!$A$2:$A$81,0)),"")</f>
        <v>Реальный заказ</v>
      </c>
      <c r="G27" s="17"/>
      <c r="H27" s="17"/>
      <c r="I27" s="18"/>
    </row>
    <row r="28" customFormat="false" ht="15" hidden="false" customHeight="false" outlineLevel="0" collapsed="false">
      <c r="A28" s="9" t="s">
        <v>242</v>
      </c>
      <c r="B28" s="10" t="str">
        <f aca="false">IFERROR(INDEX('Тест-кейсы'!$B$2:$B$81,MATCH($A28,'Тест-кейсы'!$A$2:$A$81,0)),"")</f>
        <v>Основной путь</v>
      </c>
      <c r="C28" s="10" t="str">
        <f aca="false">IFERROR(INDEX('Тест-кейсы'!$C$2:$C$81,MATCH($A28,'Тест-кейсы'!$A$2:$A$81,0)),"")</f>
        <v>Курьер забрал заказ → экран 04</v>
      </c>
      <c r="D28" s="9" t="str">
        <f aca="false">IFERROR(INDEX('Тест-кейсы'!$G$2:$G$81,MATCH($A28,'Тест-кейсы'!$A$2:$A$81,0)),"")</f>
        <v>P0</v>
      </c>
      <c r="E28" s="9" t="str">
        <f aca="false">IFERROR(INDEX('Тест-кейсы'!$I$2:$I$81,MATCH($A28,'Тест-кейсы'!$A$2:$A$81,0)),"")</f>
        <v>Smoke</v>
      </c>
      <c r="F28" s="9" t="str">
        <f aca="false">IFERROR(INDEX('Тест-кейсы'!$J$2:$J$81,MATCH($A28,'Тест-кейсы'!$A$2:$A$81,0)),"")</f>
        <v>Реальный заказ</v>
      </c>
      <c r="G28" s="17"/>
      <c r="H28" s="17"/>
      <c r="I28" s="18"/>
    </row>
    <row r="29" customFormat="false" ht="15" hidden="false" customHeight="false" outlineLevel="0" collapsed="false">
      <c r="A29" s="9" t="s">
        <v>246</v>
      </c>
      <c r="B29" s="10" t="str">
        <f aca="false">IFERROR(INDEX('Тест-кейсы'!$B$2:$B$81,MATCH($A29,'Тест-кейсы'!$A$2:$A$81,0)),"")</f>
        <v>Основной путь</v>
      </c>
      <c r="C29" s="10" t="str">
        <f aca="false">IFERROR(INDEX('Тест-кейсы'!$C$2:$C$81,MATCH($A29,'Тест-кейсы'!$A$2:$A$81,0)),"")</f>
        <v>Курьер на месте → экран 05</v>
      </c>
      <c r="D29" s="9" t="str">
        <f aca="false">IFERROR(INDEX('Тест-кейсы'!$G$2:$G$81,MATCH($A29,'Тест-кейсы'!$A$2:$A$81,0)),"")</f>
        <v>P0</v>
      </c>
      <c r="E29" s="9" t="str">
        <f aca="false">IFERROR(INDEX('Тест-кейсы'!$I$2:$I$81,MATCH($A29,'Тест-кейсы'!$A$2:$A$81,0)),"")</f>
        <v>Smoke</v>
      </c>
      <c r="F29" s="9" t="str">
        <f aca="false">IFERROR(INDEX('Тест-кейсы'!$J$2:$J$81,MATCH($A29,'Тест-кейсы'!$A$2:$A$81,0)),"")</f>
        <v>Реальный заказ</v>
      </c>
      <c r="G29" s="17"/>
      <c r="H29" s="17"/>
      <c r="I29" s="18"/>
    </row>
    <row r="30" customFormat="false" ht="15" hidden="false" customHeight="false" outlineLevel="0" collapsed="false">
      <c r="A30" s="9" t="s">
        <v>252</v>
      </c>
      <c r="B30" s="10" t="str">
        <f aca="false">IFERROR(INDEX('Тест-кейсы'!$B$2:$B$81,MATCH($A30,'Тест-кейсы'!$A$2:$A$81,0)),"")</f>
        <v>Основной путь</v>
      </c>
      <c r="C30" s="10" t="str">
        <f aca="false">IFERROR(INDEX('Тест-кейсы'!$C$2:$C$81,MATCH($A30,'Тест-кейсы'!$A$2:$A$81,0)),"")</f>
        <v>Таймер ожидания на экране 05</v>
      </c>
      <c r="D30" s="9" t="str">
        <f aca="false">IFERROR(INDEX('Тест-кейсы'!$G$2:$G$81,MATCH($A30,'Тест-кейсы'!$A$2:$A$81,0)),"")</f>
        <v>P1</v>
      </c>
      <c r="E30" s="9" t="str">
        <f aca="false">IFERROR(INDEX('Тест-кейсы'!$I$2:$I$81,MATCH($A30,'Тест-кейсы'!$A$2:$A$81,0)),"")</f>
        <v>Sanity</v>
      </c>
      <c r="F30" s="9" t="str">
        <f aca="false">IFERROR(INDEX('Тест-кейсы'!$J$2:$J$81,MATCH($A30,'Тест-кейсы'!$A$2:$A$81,0)),"")</f>
        <v>Реальный заказ</v>
      </c>
      <c r="G30" s="17"/>
      <c r="H30" s="17"/>
      <c r="I30" s="18"/>
    </row>
    <row r="31" customFormat="false" ht="15" hidden="false" customHeight="false" outlineLevel="0" collapsed="false">
      <c r="A31" s="9" t="s">
        <v>257</v>
      </c>
      <c r="B31" s="10" t="str">
        <f aca="false">IFERROR(INDEX('Тест-кейсы'!$B$2:$B$81,MATCH($A31,'Тест-кейсы'!$A$2:$A$81,0)),"")</f>
        <v>Основной путь</v>
      </c>
      <c r="C31" s="10" t="str">
        <f aca="false">IFERROR(INDEX('Тест-кейсы'!$C$2:$C$81,MATCH($A31,'Тест-кейсы'!$A$2:$A$81,0)),"")</f>
        <v>Курьер передал заказ → экран 06</v>
      </c>
      <c r="D31" s="9" t="str">
        <f aca="false">IFERROR(INDEX('Тест-кейсы'!$G$2:$G$81,MATCH($A31,'Тест-кейсы'!$A$2:$A$81,0)),"")</f>
        <v>P0</v>
      </c>
      <c r="E31" s="9" t="str">
        <f aca="false">IFERROR(INDEX('Тест-кейсы'!$I$2:$I$81,MATCH($A31,'Тест-кейсы'!$A$2:$A$81,0)),"")</f>
        <v>Smoke</v>
      </c>
      <c r="F31" s="9" t="str">
        <f aca="false">IFERROR(INDEX('Тест-кейсы'!$J$2:$J$81,MATCH($A31,'Тест-кейсы'!$A$2:$A$81,0)),"")</f>
        <v>Реальный заказ</v>
      </c>
      <c r="G31" s="17"/>
      <c r="H31" s="17"/>
      <c r="I31" s="18"/>
    </row>
    <row r="32" customFormat="false" ht="15" hidden="false" customHeight="false" outlineLevel="0" collapsed="false">
      <c r="A32" s="9" t="s">
        <v>261</v>
      </c>
      <c r="B32" s="10" t="str">
        <f aca="false">IFERROR(INDEX('Тест-кейсы'!$B$2:$B$81,MATCH($A32,'Тест-кейсы'!$A$2:$A$81,0)),"")</f>
        <v>Основной путь</v>
      </c>
      <c r="C32" s="10" t="str">
        <f aca="false">IFERROR(INDEX('Тест-кейсы'!$C$2:$C$81,MATCH($A32,'Тест-кейсы'!$A$2:$A$81,0)),"")</f>
        <v>Оценка доставки</v>
      </c>
      <c r="D32" s="9" t="str">
        <f aca="false">IFERROR(INDEX('Тест-кейсы'!$G$2:$G$81,MATCH($A32,'Тест-кейсы'!$A$2:$A$81,0)),"")</f>
        <v>P1</v>
      </c>
      <c r="E32" s="9" t="str">
        <f aca="false">IFERROR(INDEX('Тест-кейсы'!$I$2:$I$81,MATCH($A32,'Тест-кейсы'!$A$2:$A$81,0)),"")</f>
        <v>Sanity</v>
      </c>
      <c r="F32" s="9" t="str">
        <f aca="false">IFERROR(INDEX('Тест-кейсы'!$J$2:$J$81,MATCH($A32,'Тест-кейсы'!$A$2:$A$81,0)),"")</f>
        <v>Реальный заказ</v>
      </c>
      <c r="G32" s="17"/>
      <c r="H32" s="17"/>
      <c r="I32" s="18"/>
    </row>
    <row r="33" customFormat="false" ht="15" hidden="false" customHeight="false" outlineLevel="0" collapsed="false">
      <c r="A33" s="9" t="s">
        <v>266</v>
      </c>
      <c r="B33" s="10" t="str">
        <f aca="false">IFERROR(INDEX('Тест-кейсы'!$B$2:$B$81,MATCH($A33,'Тест-кейсы'!$A$2:$A$81,0)),"")</f>
        <v>Основной путь</v>
      </c>
      <c r="C33" s="10" t="str">
        <f aca="false">IFERROR(INDEX('Тест-кейсы'!$C$2:$C$81,MATCH($A33,'Тест-кейсы'!$A$2:$A$81,0)),"")</f>
        <v>«Сообщить о проблеме» на экране 06</v>
      </c>
      <c r="D33" s="9" t="str">
        <f aca="false">IFERROR(INDEX('Тест-кейсы'!$G$2:$G$81,MATCH($A33,'Тест-кейсы'!$A$2:$A$81,0)),"")</f>
        <v>P2</v>
      </c>
      <c r="E33" s="9" t="str">
        <f aca="false">IFERROR(INDEX('Тест-кейсы'!$I$2:$I$81,MATCH($A33,'Тест-кейсы'!$A$2:$A$81,0)),"")</f>
        <v>Regression</v>
      </c>
      <c r="F33" s="9" t="str">
        <f aca="false">IFERROR(INDEX('Тест-кейсы'!$J$2:$J$81,MATCH($A33,'Тест-кейсы'!$A$2:$A$81,0)),"")</f>
        <v>Реальный заказ</v>
      </c>
      <c r="G33" s="17"/>
      <c r="H33" s="17"/>
      <c r="I33" s="18"/>
    </row>
    <row r="34" customFormat="false" ht="15" hidden="false" customHeight="false" outlineLevel="0" collapsed="false">
      <c r="A34" s="9" t="s">
        <v>270</v>
      </c>
      <c r="B34" s="10" t="str">
        <f aca="false">IFERROR(INDEX('Тест-кейсы'!$B$2:$B$81,MATCH($A34,'Тест-кейсы'!$A$2:$A$81,0)),"")</f>
        <v>Основной путь</v>
      </c>
      <c r="C34" s="10" t="str">
        <f aca="false">IFERROR(INDEX('Тест-кейсы'!$C$2:$C$81,MATCH($A34,'Тест-кейсы'!$A$2:$A$81,0)),"")</f>
        <v>Доставленный заказ уходит из активных</v>
      </c>
      <c r="D34" s="9" t="str">
        <f aca="false">IFERROR(INDEX('Тест-кейсы'!$G$2:$G$81,MATCH($A34,'Тест-кейсы'!$A$2:$A$81,0)),"")</f>
        <v>P1</v>
      </c>
      <c r="E34" s="9" t="str">
        <f aca="false">IFERROR(INDEX('Тест-кейсы'!$I$2:$I$81,MATCH($A34,'Тест-кейсы'!$A$2:$A$81,0)),"")</f>
        <v>Sanity</v>
      </c>
      <c r="F34" s="9" t="str">
        <f aca="false">IFERROR(INDEX('Тест-кейсы'!$J$2:$J$81,MATCH($A34,'Тест-кейсы'!$A$2:$A$81,0)),"")</f>
        <v>Реальный заказ</v>
      </c>
      <c r="G34" s="17"/>
      <c r="H34" s="17"/>
      <c r="I34" s="18"/>
    </row>
    <row r="35" customFormat="false" ht="23.85" hidden="false" customHeight="false" outlineLevel="0" collapsed="false">
      <c r="A35" s="9" t="s">
        <v>274</v>
      </c>
      <c r="B35" s="10" t="str">
        <f aca="false">IFERROR(INDEX('Тест-кейсы'!$B$2:$B$81,MATCH($A35,'Тест-кейсы'!$A$2:$A$81,0)),"")</f>
        <v>Отмена клиентом</v>
      </c>
      <c r="C35" s="10" t="str">
        <f aca="false">IFERROR(INDEX('Тест-кейсы'!$C$2:$C$81,MATCH($A35,'Тест-кейсы'!$A$2:$A$81,0)),"")</f>
        <v>Иконка отмены на 01 — отказ от отмены</v>
      </c>
      <c r="D35" s="9" t="str">
        <f aca="false">IFERROR(INDEX('Тест-кейсы'!$G$2:$G$81,MATCH($A35,'Тест-кейсы'!$A$2:$A$81,0)),"")</f>
        <v>P1</v>
      </c>
      <c r="E35" s="9" t="str">
        <f aca="false">IFERROR(INDEX('Тест-кейсы'!$I$2:$I$81,MATCH($A35,'Тест-кейсы'!$A$2:$A$81,0)),"")</f>
        <v>Sanity</v>
      </c>
      <c r="F35" s="9" t="str">
        <f aca="false">IFERROR(INDEX('Тест-кейсы'!$J$2:$J$81,MATCH($A35,'Тест-кейсы'!$A$2:$A$81,0)),"")</f>
        <v>Реальный заказ</v>
      </c>
      <c r="G35" s="17"/>
      <c r="H35" s="17"/>
      <c r="I35" s="18"/>
    </row>
    <row r="36" customFormat="false" ht="23.85" hidden="false" customHeight="false" outlineLevel="0" collapsed="false">
      <c r="A36" s="9" t="s">
        <v>281</v>
      </c>
      <c r="B36" s="10" t="str">
        <f aca="false">IFERROR(INDEX('Тест-кейсы'!$B$2:$B$81,MATCH($A36,'Тест-кейсы'!$A$2:$A$81,0)),"")</f>
        <v>Отмена клиентом</v>
      </c>
      <c r="C36" s="10" t="str">
        <f aca="false">IFERROR(INDEX('Тест-кейсы'!$C$2:$C$81,MATCH($A36,'Тест-кейсы'!$A$2:$A$81,0)),"")</f>
        <v>Отмена заказа клиентом на 01, наличные</v>
      </c>
      <c r="D36" s="9" t="str">
        <f aca="false">IFERROR(INDEX('Тест-кейсы'!$G$2:$G$81,MATCH($A36,'Тест-кейсы'!$A$2:$A$81,0)),"")</f>
        <v>P1</v>
      </c>
      <c r="E36" s="9" t="str">
        <f aca="false">IFERROR(INDEX('Тест-кейсы'!$I$2:$I$81,MATCH($A36,'Тест-кейсы'!$A$2:$A$81,0)),"")</f>
        <v>Sanity</v>
      </c>
      <c r="F36" s="9" t="str">
        <f aca="false">IFERROR(INDEX('Тест-кейсы'!$J$2:$J$81,MATCH($A36,'Тест-кейсы'!$A$2:$A$81,0)),"")</f>
        <v>Реальный заказ</v>
      </c>
      <c r="G36" s="17"/>
      <c r="H36" s="17"/>
      <c r="I36" s="18"/>
    </row>
    <row r="37" customFormat="false" ht="23.85" hidden="false" customHeight="false" outlineLevel="0" collapsed="false">
      <c r="A37" s="9" t="s">
        <v>285</v>
      </c>
      <c r="B37" s="10" t="str">
        <f aca="false">IFERROR(INDEX('Тест-кейсы'!$B$2:$B$81,MATCH($A37,'Тест-кейсы'!$A$2:$A$81,0)),"")</f>
        <v>Отмена клиентом</v>
      </c>
      <c r="C37" s="10" t="str">
        <f aca="false">IFERROR(INDEX('Тест-кейсы'!$C$2:$C$81,MATCH($A37,'Тест-кейсы'!$A$2:$A$81,0)),"")</f>
        <v>Отмена клиентом, оплата картой — возврат</v>
      </c>
      <c r="D37" s="9" t="str">
        <f aca="false">IFERROR(INDEX('Тест-кейсы'!$G$2:$G$81,MATCH($A37,'Тест-кейсы'!$A$2:$A$81,0)),"")</f>
        <v>P1</v>
      </c>
      <c r="E37" s="9" t="str">
        <f aca="false">IFERROR(INDEX('Тест-кейсы'!$I$2:$I$81,MATCH($A37,'Тест-кейсы'!$A$2:$A$81,0)),"")</f>
        <v>Regression</v>
      </c>
      <c r="F37" s="9" t="str">
        <f aca="false">IFERROR(INDEX('Тест-кейсы'!$J$2:$J$81,MATCH($A37,'Тест-кейсы'!$A$2:$A$81,0)),"")</f>
        <v>Реальный заказ</v>
      </c>
      <c r="G37" s="17"/>
      <c r="H37" s="17"/>
      <c r="I37" s="18"/>
    </row>
    <row r="38" customFormat="false" ht="23.85" hidden="false" customHeight="false" outlineLevel="0" collapsed="false">
      <c r="A38" s="9" t="s">
        <v>290</v>
      </c>
      <c r="B38" s="10" t="str">
        <f aca="false">IFERROR(INDEX('Тест-кейсы'!$B$2:$B$81,MATCH($A38,'Тест-кейсы'!$A$2:$A$81,0)),"")</f>
        <v>Отмена клиентом</v>
      </c>
      <c r="C38" s="10" t="str">
        <f aca="false">IFERROR(INDEX('Тест-кейсы'!$C$2:$C$81,MATCH($A38,'Тест-кейсы'!$A$2:$A$81,0)),"")</f>
        <v>После начала сборки отмены нет</v>
      </c>
      <c r="D38" s="9" t="str">
        <f aca="false">IFERROR(INDEX('Тест-кейсы'!$G$2:$G$81,MATCH($A38,'Тест-кейсы'!$A$2:$A$81,0)),"")</f>
        <v>P1</v>
      </c>
      <c r="E38" s="9" t="str">
        <f aca="false">IFERROR(INDEX('Тест-кейсы'!$I$2:$I$81,MATCH($A38,'Тест-кейсы'!$A$2:$A$81,0)),"")</f>
        <v>Sanity</v>
      </c>
      <c r="F38" s="9" t="str">
        <f aca="false">IFERROR(INDEX('Тест-кейсы'!$J$2:$J$81,MATCH($A38,'Тест-кейсы'!$A$2:$A$81,0)),"")</f>
        <v>Реальный заказ</v>
      </c>
      <c r="G38" s="17"/>
      <c r="H38" s="17"/>
      <c r="I38" s="18"/>
    </row>
    <row r="39" customFormat="false" ht="23.85" hidden="false" customHeight="false" outlineLevel="0" collapsed="false">
      <c r="A39" s="9" t="s">
        <v>296</v>
      </c>
      <c r="B39" s="10" t="str">
        <f aca="false">IFERROR(INDEX('Тест-кейсы'!$B$2:$B$81,MATCH($A39,'Тест-кейсы'!$A$2:$A$81,0)),"")</f>
        <v>Отклонение</v>
      </c>
      <c r="C39" s="10" t="str">
        <f aca="false">IFERROR(INDEX('Тест-кейсы'!$C$2:$C$81,MATCH($A39,'Тест-кейсы'!$A$2:$A$81,0)),"")</f>
        <v>Мерчант отклонил заказ, оплата картой → 01A</v>
      </c>
      <c r="D39" s="9" t="str">
        <f aca="false">IFERROR(INDEX('Тест-кейсы'!$G$2:$G$81,MATCH($A39,'Тест-кейсы'!$A$2:$A$81,0)),"")</f>
        <v>P0</v>
      </c>
      <c r="E39" s="9" t="str">
        <f aca="false">IFERROR(INDEX('Тест-кейсы'!$I$2:$I$81,MATCH($A39,'Тест-кейсы'!$A$2:$A$81,0)),"")</f>
        <v>Sanity</v>
      </c>
      <c r="F39" s="9" t="str">
        <f aca="false">IFERROR(INDEX('Тест-кейсы'!$J$2:$J$81,MATCH($A39,'Тест-кейсы'!$A$2:$A$81,0)),"")</f>
        <v>Реальный заказ</v>
      </c>
      <c r="G39" s="17"/>
      <c r="H39" s="17"/>
      <c r="I39" s="18"/>
    </row>
    <row r="40" customFormat="false" ht="15" hidden="false" customHeight="false" outlineLevel="0" collapsed="false">
      <c r="A40" s="9" t="s">
        <v>302</v>
      </c>
      <c r="B40" s="10" t="str">
        <f aca="false">IFERROR(INDEX('Тест-кейсы'!$B$2:$B$81,MATCH($A40,'Тест-кейсы'!$A$2:$A$81,0)),"")</f>
        <v>Отклонение</v>
      </c>
      <c r="C40" s="10" t="str">
        <f aca="false">IFERROR(INDEX('Тест-кейсы'!$C$2:$C$81,MATCH($A40,'Тест-кейсы'!$A$2:$A$81,0)),"")</f>
        <v>Мерчант отклонил заказ, наличные</v>
      </c>
      <c r="D40" s="9" t="str">
        <f aca="false">IFERROR(INDEX('Тест-кейсы'!$G$2:$G$81,MATCH($A40,'Тест-кейсы'!$A$2:$A$81,0)),"")</f>
        <v>P1</v>
      </c>
      <c r="E40" s="9" t="str">
        <f aca="false">IFERROR(INDEX('Тест-кейсы'!$I$2:$I$81,MATCH($A40,'Тест-кейсы'!$A$2:$A$81,0)),"")</f>
        <v>Sanity</v>
      </c>
      <c r="F40" s="9" t="str">
        <f aca="false">IFERROR(INDEX('Тест-кейсы'!$J$2:$J$81,MATCH($A40,'Тест-кейсы'!$A$2:$A$81,0)),"")</f>
        <v>Реальный заказ</v>
      </c>
      <c r="G40" s="17"/>
      <c r="H40" s="17"/>
      <c r="I40" s="18"/>
    </row>
    <row r="41" customFormat="false" ht="23.85" hidden="false" customHeight="false" outlineLevel="0" collapsed="false">
      <c r="A41" s="9" t="s">
        <v>307</v>
      </c>
      <c r="B41" s="10" t="str">
        <f aca="false">IFERROR(INDEX('Тест-кейсы'!$B$2:$B$81,MATCH($A41,'Тест-кейсы'!$A$2:$A$81,0)),"")</f>
        <v>Отклонение</v>
      </c>
      <c r="C41" s="10" t="str">
        <f aca="false">IFERROR(INDEX('Тест-кейсы'!$C$2:$C$81,MATCH($A41,'Тест-кейсы'!$A$2:$A$81,0)),"")</f>
        <v>Отменённый заказ не возвращается в активный флоу</v>
      </c>
      <c r="D41" s="9" t="str">
        <f aca="false">IFERROR(INDEX('Тест-кейсы'!$G$2:$G$81,MATCH($A41,'Тест-кейсы'!$A$2:$A$81,0)),"")</f>
        <v>P1</v>
      </c>
      <c r="E41" s="9" t="str">
        <f aca="false">IFERROR(INDEX('Тест-кейсы'!$I$2:$I$81,MATCH($A41,'Тест-кейсы'!$A$2:$A$81,0)),"")</f>
        <v>Sanity</v>
      </c>
      <c r="F41" s="9" t="str">
        <f aca="false">IFERROR(INDEX('Тест-кейсы'!$J$2:$J$81,MATCH($A41,'Тест-кейсы'!$A$2:$A$81,0)),"")</f>
        <v>Реальный заказ</v>
      </c>
      <c r="G41" s="17"/>
      <c r="H41" s="17"/>
      <c r="I41" s="18"/>
    </row>
    <row r="42" customFormat="false" ht="15" hidden="false" customHeight="false" outlineLevel="0" collapsed="false">
      <c r="A42" s="9" t="s">
        <v>312</v>
      </c>
      <c r="B42" s="10" t="str">
        <f aca="false">IFERROR(INDEX('Тест-кейсы'!$B$2:$B$81,MATCH($A42,'Тест-кейсы'!$A$2:$A$81,0)),"")</f>
        <v>Отклонение</v>
      </c>
      <c r="C42" s="10" t="str">
        <f aca="false">IFERROR(INDEX('Тест-кейсы'!$C$2:$C$81,MATCH($A42,'Тест-кейсы'!$A$2:$A$81,0)),"")</f>
        <v>Автоотмена без подтверждения магазина</v>
      </c>
      <c r="D42" s="9" t="str">
        <f aca="false">IFERROR(INDEX('Тест-кейсы'!$G$2:$G$81,MATCH($A42,'Тест-кейсы'!$A$2:$A$81,0)),"")</f>
        <v>P2</v>
      </c>
      <c r="E42" s="9" t="str">
        <f aca="false">IFERROR(INDEX('Тест-кейсы'!$I$2:$I$81,MATCH($A42,'Тест-кейсы'!$A$2:$A$81,0)),"")</f>
        <v>Regression</v>
      </c>
      <c r="F42" s="9" t="str">
        <f aca="false">IFERROR(INDEX('Тест-кейсы'!$J$2:$J$81,MATCH($A42,'Тест-кейсы'!$A$2:$A$81,0)),"")</f>
        <v>Реальный заказ</v>
      </c>
      <c r="G42" s="17"/>
      <c r="H42" s="17"/>
      <c r="I42" s="18"/>
    </row>
    <row r="43" customFormat="false" ht="15" hidden="false" customHeight="false" outlineLevel="0" collapsed="false">
      <c r="A43" s="9" t="s">
        <v>318</v>
      </c>
      <c r="B43" s="10" t="str">
        <f aca="false">IFERROR(INDEX('Тест-кейсы'!$B$2:$B$81,MATCH($A43,'Тест-кейсы'!$A$2:$A$81,0)),"")</f>
        <v>Отклонение</v>
      </c>
      <c r="C43" s="10" t="str">
        <f aca="false">IFERROR(INDEX('Тест-кейсы'!$C$2:$C$81,MATCH($A43,'Тест-кейсы'!$A$2:$A$81,0)),"")</f>
        <v>Мерчант отменил заказ после начала сборки</v>
      </c>
      <c r="D43" s="9" t="str">
        <f aca="false">IFERROR(INDEX('Тест-кейсы'!$G$2:$G$81,MATCH($A43,'Тест-кейсы'!$A$2:$A$81,0)),"")</f>
        <v>P2</v>
      </c>
      <c r="E43" s="9" t="str">
        <f aca="false">IFERROR(INDEX('Тест-кейсы'!$I$2:$I$81,MATCH($A43,'Тест-кейсы'!$A$2:$A$81,0)),"")</f>
        <v>Regression</v>
      </c>
      <c r="F43" s="9" t="str">
        <f aca="false">IFERROR(INDEX('Тест-кейсы'!$J$2:$J$81,MATCH($A43,'Тест-кейсы'!$A$2:$A$81,0)),"")</f>
        <v>Реальный заказ</v>
      </c>
      <c r="G43" s="17"/>
      <c r="H43" s="17"/>
      <c r="I43" s="18"/>
    </row>
    <row r="44" customFormat="false" ht="15" hidden="false" customHeight="false" outlineLevel="0" collapsed="false">
      <c r="A44" s="9" t="s">
        <v>324</v>
      </c>
      <c r="B44" s="10" t="str">
        <f aca="false">IFERROR(INDEX('Тест-кейсы'!$B$2:$B$81,MATCH($A44,'Тест-кейсы'!$A$2:$A$81,0)),"")</f>
        <v>Замена</v>
      </c>
      <c r="C44" s="10" t="str">
        <f aca="false">IFERROR(INDEX('Тест-кейсы'!$C$2:$C$81,MATCH($A44,'Тест-кейсы'!$A$2:$A$81,0)),"")</f>
        <v>Товары закончились → экран 02B</v>
      </c>
      <c r="D44" s="9" t="str">
        <f aca="false">IFERROR(INDEX('Тест-кейсы'!$G$2:$G$81,MATCH($A44,'Тест-кейсы'!$A$2:$A$81,0)),"")</f>
        <v>P0</v>
      </c>
      <c r="E44" s="9" t="str">
        <f aca="false">IFERROR(INDEX('Тест-кейсы'!$I$2:$I$81,MATCH($A44,'Тест-кейсы'!$A$2:$A$81,0)),"")</f>
        <v>Sanity</v>
      </c>
      <c r="F44" s="9" t="str">
        <f aca="false">IFERROR(INDEX('Тест-кейсы'!$J$2:$J$81,MATCH($A44,'Тест-кейсы'!$A$2:$A$81,0)),"")</f>
        <v>Реальный заказ</v>
      </c>
      <c r="G44" s="17"/>
      <c r="H44" s="17"/>
      <c r="I44" s="18"/>
    </row>
    <row r="45" customFormat="false" ht="15" hidden="false" customHeight="false" outlineLevel="0" collapsed="false">
      <c r="A45" s="9" t="s">
        <v>330</v>
      </c>
      <c r="B45" s="10" t="str">
        <f aca="false">IFERROR(INDEX('Тест-кейсы'!$B$2:$B$81,MATCH($A45,'Тест-кейсы'!$A$2:$A$81,0)),"")</f>
        <v>Замена</v>
      </c>
      <c r="C45" s="10" t="str">
        <f aca="false">IFERROR(INDEX('Тест-кейсы'!$C$2:$C$81,MATCH($A45,'Тест-кейсы'!$A$2:$A$81,0)),"")</f>
        <v>Принять предложенную замену</v>
      </c>
      <c r="D45" s="9" t="str">
        <f aca="false">IFERROR(INDEX('Тест-кейсы'!$G$2:$G$81,MATCH($A45,'Тест-кейсы'!$A$2:$A$81,0)),"")</f>
        <v>P0</v>
      </c>
      <c r="E45" s="9" t="str">
        <f aca="false">IFERROR(INDEX('Тест-кейсы'!$I$2:$I$81,MATCH($A45,'Тест-кейсы'!$A$2:$A$81,0)),"")</f>
        <v>Sanity</v>
      </c>
      <c r="F45" s="9" t="str">
        <f aca="false">IFERROR(INDEX('Тест-кейсы'!$J$2:$J$81,MATCH($A45,'Тест-кейсы'!$A$2:$A$81,0)),"")</f>
        <v>Реальный заказ</v>
      </c>
      <c r="G45" s="17"/>
      <c r="H45" s="17"/>
      <c r="I45" s="18"/>
    </row>
    <row r="46" customFormat="false" ht="15" hidden="false" customHeight="false" outlineLevel="0" collapsed="false">
      <c r="A46" s="9" t="s">
        <v>335</v>
      </c>
      <c r="B46" s="10" t="str">
        <f aca="false">IFERROR(INDEX('Тест-кейсы'!$B$2:$B$81,MATCH($A46,'Тест-кейсы'!$A$2:$A$81,0)),"")</f>
        <v>Замена</v>
      </c>
      <c r="C46" s="10" t="str">
        <f aca="false">IFERROR(INDEX('Тест-кейсы'!$C$2:$C$81,MATCH($A46,'Тест-кейсы'!$A$2:$A$81,0)),"")</f>
        <v>Удалить недоступный товар</v>
      </c>
      <c r="D46" s="9" t="str">
        <f aca="false">IFERROR(INDEX('Тест-кейсы'!$G$2:$G$81,MATCH($A46,'Тест-кейсы'!$A$2:$A$81,0)),"")</f>
        <v>P1</v>
      </c>
      <c r="E46" s="9" t="str">
        <f aca="false">IFERROR(INDEX('Тест-кейсы'!$I$2:$I$81,MATCH($A46,'Тест-кейсы'!$A$2:$A$81,0)),"")</f>
        <v>Regression</v>
      </c>
      <c r="F46" s="9" t="str">
        <f aca="false">IFERROR(INDEX('Тест-кейсы'!$J$2:$J$81,MATCH($A46,'Тест-кейсы'!$A$2:$A$81,0)),"")</f>
        <v>Реальный заказ</v>
      </c>
      <c r="G46" s="17"/>
      <c r="H46" s="17"/>
      <c r="I46" s="18"/>
    </row>
    <row r="47" customFormat="false" ht="15" hidden="false" customHeight="false" outlineLevel="0" collapsed="false">
      <c r="A47" s="9" t="s">
        <v>339</v>
      </c>
      <c r="B47" s="10" t="str">
        <f aca="false">IFERROR(INDEX('Тест-кейсы'!$B$2:$B$81,MATCH($A47,'Тест-кейсы'!$A$2:$A$81,0)),"")</f>
        <v>Замена</v>
      </c>
      <c r="C47" s="10" t="str">
        <f aca="false">IFERROR(INDEX('Тест-кейсы'!$C$2:$C$81,MATCH($A47,'Тест-кейсы'!$A$2:$A$81,0)),"")</f>
        <v>«Выбрать» замену самому</v>
      </c>
      <c r="D47" s="9" t="str">
        <f aca="false">IFERROR(INDEX('Тест-кейсы'!$G$2:$G$81,MATCH($A47,'Тест-кейсы'!$A$2:$A$81,0)),"")</f>
        <v>P1</v>
      </c>
      <c r="E47" s="9" t="str">
        <f aca="false">IFERROR(INDEX('Тест-кейсы'!$I$2:$I$81,MATCH($A47,'Тест-кейсы'!$A$2:$A$81,0)),"")</f>
        <v>Regression</v>
      </c>
      <c r="F47" s="9" t="str">
        <f aca="false">IFERROR(INDEX('Тест-кейсы'!$J$2:$J$81,MATCH($A47,'Тест-кейсы'!$A$2:$A$81,0)),"")</f>
        <v>Реальный заказ</v>
      </c>
      <c r="G47" s="17"/>
      <c r="H47" s="17"/>
      <c r="I47" s="18"/>
    </row>
    <row r="48" customFormat="false" ht="23.85" hidden="false" customHeight="false" outlineLevel="0" collapsed="false">
      <c r="A48" s="9" t="s">
        <v>344</v>
      </c>
      <c r="B48" s="10" t="str">
        <f aca="false">IFERROR(INDEX('Тест-кейсы'!$B$2:$B$81,MATCH($A48,'Тест-кейсы'!$A$2:$A$81,0)),"")</f>
        <v>Замена</v>
      </c>
      <c r="C48" s="10" t="str">
        <f aca="false">IFERROR(INDEX('Тест-кейсы'!$C$2:$C$81,MATCH($A48,'Тест-кейсы'!$A$2:$A$81,0)),"")</f>
        <v>Все товары решены → возврат на 02, пересчёт</v>
      </c>
      <c r="D48" s="9" t="str">
        <f aca="false">IFERROR(INDEX('Тест-кейсы'!$G$2:$G$81,MATCH($A48,'Тест-кейсы'!$A$2:$A$81,0)),"")</f>
        <v>P0</v>
      </c>
      <c r="E48" s="9" t="str">
        <f aca="false">IFERROR(INDEX('Тест-кейсы'!$I$2:$I$81,MATCH($A48,'Тест-кейсы'!$A$2:$A$81,0)),"")</f>
        <v>Sanity</v>
      </c>
      <c r="F48" s="9" t="str">
        <f aca="false">IFERROR(INDEX('Тест-кейсы'!$J$2:$J$81,MATCH($A48,'Тест-кейсы'!$A$2:$A$81,0)),"")</f>
        <v>Реальный заказ</v>
      </c>
      <c r="G48" s="17"/>
      <c r="H48" s="17"/>
      <c r="I48" s="18"/>
    </row>
    <row r="49" customFormat="false" ht="15" hidden="false" customHeight="false" outlineLevel="0" collapsed="false">
      <c r="A49" s="9" t="s">
        <v>349</v>
      </c>
      <c r="B49" s="10" t="str">
        <f aca="false">IFERROR(INDEX('Тест-кейсы'!$B$2:$B$81,MATCH($A49,'Тест-кейсы'!$A$2:$A$81,0)),"")</f>
        <v>Замена</v>
      </c>
      <c r="C49" s="10" t="str">
        <f aca="false">IFERROR(INDEX('Тест-кейсы'!$C$2:$C$81,MATCH($A49,'Тест-кейсы'!$A$2:$A$81,0)),"")</f>
        <v>Таймер замены после перезапуска</v>
      </c>
      <c r="D49" s="9" t="str">
        <f aca="false">IFERROR(INDEX('Тест-кейсы'!$G$2:$G$81,MATCH($A49,'Тест-кейсы'!$A$2:$A$81,0)),"")</f>
        <v>P1</v>
      </c>
      <c r="E49" s="9" t="str">
        <f aca="false">IFERROR(INDEX('Тест-кейсы'!$I$2:$I$81,MATCH($A49,'Тест-кейсы'!$A$2:$A$81,0)),"")</f>
        <v>Sanity</v>
      </c>
      <c r="F49" s="9" t="str">
        <f aca="false">IFERROR(INDEX('Тест-кейсы'!$J$2:$J$81,MATCH($A49,'Тест-кейсы'!$A$2:$A$81,0)),"")</f>
        <v>Реальный заказ</v>
      </c>
      <c r="G49" s="17"/>
      <c r="H49" s="17"/>
      <c r="I49" s="18"/>
    </row>
    <row r="50" customFormat="false" ht="15" hidden="false" customHeight="false" outlineLevel="0" collapsed="false">
      <c r="A50" s="9" t="s">
        <v>353</v>
      </c>
      <c r="B50" s="10" t="str">
        <f aca="false">IFERROR(INDEX('Тест-кейсы'!$B$2:$B$81,MATCH($A50,'Тест-кейсы'!$A$2:$A$81,0)),"")</f>
        <v>Замена</v>
      </c>
      <c r="C50" s="10" t="str">
        <f aca="false">IFERROR(INDEX('Тест-кейсы'!$C$2:$C$81,MATCH($A50,'Тест-кейсы'!$A$2:$A$81,0)),"")</f>
        <v>Клиент не ответил — автоудаление</v>
      </c>
      <c r="D50" s="9" t="str">
        <f aca="false">IFERROR(INDEX('Тест-кейсы'!$G$2:$G$81,MATCH($A50,'Тест-кейсы'!$A$2:$A$81,0)),"")</f>
        <v>P1</v>
      </c>
      <c r="E50" s="9" t="str">
        <f aca="false">IFERROR(INDEX('Тест-кейсы'!$I$2:$I$81,MATCH($A50,'Тест-кейсы'!$A$2:$A$81,0)),"")</f>
        <v>Sanity</v>
      </c>
      <c r="F50" s="9" t="str">
        <f aca="false">IFERROR(INDEX('Тест-кейсы'!$J$2:$J$81,MATCH($A50,'Тест-кейсы'!$A$2:$A$81,0)),"")</f>
        <v>Реальный заказ</v>
      </c>
      <c r="G50" s="17"/>
      <c r="H50" s="17"/>
      <c r="I50" s="18"/>
    </row>
    <row r="51" customFormat="false" ht="15" hidden="false" customHeight="false" outlineLevel="0" collapsed="false">
      <c r="A51" s="9" t="s">
        <v>359</v>
      </c>
      <c r="B51" s="10" t="str">
        <f aca="false">IFERROR(INDEX('Тест-кейсы'!$B$2:$B$81,MATCH($A51,'Тест-кейсы'!$A$2:$A$81,0)),"")</f>
        <v>Замена</v>
      </c>
      <c r="C51" s="10" t="str">
        <f aca="false">IFERROR(INDEX('Тест-кейсы'!$C$2:$C$81,MATCH($A51,'Тест-кейсы'!$A$2:$A$81,0)),"")</f>
        <v>Итог после замены на всех сторонах</v>
      </c>
      <c r="D51" s="9" t="str">
        <f aca="false">IFERROR(INDEX('Тест-кейсы'!$G$2:$G$81,MATCH($A51,'Тест-кейсы'!$A$2:$A$81,0)),"")</f>
        <v>P1</v>
      </c>
      <c r="E51" s="9" t="str">
        <f aca="false">IFERROR(INDEX('Тест-кейсы'!$I$2:$I$81,MATCH($A51,'Тест-кейсы'!$A$2:$A$81,0)),"")</f>
        <v>Sanity</v>
      </c>
      <c r="F51" s="9" t="str">
        <f aca="false">IFERROR(INDEX('Тест-кейсы'!$J$2:$J$81,MATCH($A51,'Тест-кейсы'!$A$2:$A$81,0)),"")</f>
        <v>Реальный заказ</v>
      </c>
      <c r="G51" s="17"/>
      <c r="H51" s="17"/>
      <c r="I51" s="18"/>
    </row>
    <row r="52" customFormat="false" ht="15" hidden="false" customHeight="false" outlineLevel="0" collapsed="false">
      <c r="A52" s="9" t="s">
        <v>364</v>
      </c>
      <c r="B52" s="10" t="str">
        <f aca="false">IFERROR(INDEX('Тест-кейсы'!$B$2:$B$81,MATCH($A52,'Тест-кейсы'!$A$2:$A$81,0)),"")</f>
        <v>Замена</v>
      </c>
      <c r="C52" s="10" t="str">
        <f aca="false">IFERROR(INDEX('Тест-кейсы'!$C$2:$C$81,MATCH($A52,'Тест-кейсы'!$A$2:$A$81,0)),"")</f>
        <v>Закончились все товары заказа</v>
      </c>
      <c r="D52" s="9" t="str">
        <f aca="false">IFERROR(INDEX('Тест-кейсы'!$G$2:$G$81,MATCH($A52,'Тест-кейсы'!$A$2:$A$81,0)),"")</f>
        <v>P2</v>
      </c>
      <c r="E52" s="9" t="str">
        <f aca="false">IFERROR(INDEX('Тест-кейсы'!$I$2:$I$81,MATCH($A52,'Тест-кейсы'!$A$2:$A$81,0)),"")</f>
        <v>Regression</v>
      </c>
      <c r="F52" s="9" t="str">
        <f aca="false">IFERROR(INDEX('Тест-кейсы'!$J$2:$J$81,MATCH($A52,'Тест-кейсы'!$A$2:$A$81,0)),"")</f>
        <v>Реальный заказ</v>
      </c>
      <c r="G52" s="17"/>
      <c r="H52" s="17"/>
      <c r="I52" s="18"/>
    </row>
    <row r="53" customFormat="false" ht="15" hidden="false" customHeight="false" outlineLevel="0" collapsed="false">
      <c r="A53" s="9" t="s">
        <v>370</v>
      </c>
      <c r="B53" s="10" t="str">
        <f aca="false">IFERROR(INDEX('Тест-кейсы'!$B$2:$B$81,MATCH($A53,'Тест-кейсы'!$A$2:$A$81,0)),"")</f>
        <v>Замена</v>
      </c>
      <c r="C53" s="10" t="str">
        <f aca="false">IFERROR(INDEX('Тест-кейсы'!$C$2:$C$81,MATCH($A53,'Тест-кейсы'!$A$2:$A$81,0)),"")</f>
        <v>Замена с другой ценой</v>
      </c>
      <c r="D53" s="9" t="str">
        <f aca="false">IFERROR(INDEX('Тест-кейсы'!$G$2:$G$81,MATCH($A53,'Тест-кейсы'!$A$2:$A$81,0)),"")</f>
        <v>P2</v>
      </c>
      <c r="E53" s="9" t="str">
        <f aca="false">IFERROR(INDEX('Тест-кейсы'!$I$2:$I$81,MATCH($A53,'Тест-кейсы'!$A$2:$A$81,0)),"")</f>
        <v>Regression</v>
      </c>
      <c r="F53" s="9" t="str">
        <f aca="false">IFERROR(INDEX('Тест-кейсы'!$J$2:$J$81,MATCH($A53,'Тест-кейсы'!$A$2:$A$81,0)),"")</f>
        <v>Реальный заказ</v>
      </c>
      <c r="G53" s="17"/>
      <c r="H53" s="17"/>
      <c r="I53" s="18"/>
    </row>
    <row r="54" customFormat="false" ht="15" hidden="false" customHeight="false" outlineLevel="0" collapsed="false">
      <c r="A54" s="9" t="s">
        <v>374</v>
      </c>
      <c r="B54" s="10" t="str">
        <f aca="false">IFERROR(INDEX('Тест-кейсы'!$B$2:$B$81,MATCH($A54,'Тест-кейсы'!$A$2:$A$81,0)),"")</f>
        <v>Задержки</v>
      </c>
      <c r="C54" s="10" t="str">
        <f aca="false">IFERROR(INDEX('Тест-кейсы'!$C$2:$C$81,MATCH($A54,'Тест-кейсы'!$A$2:$A$81,0)),"")</f>
        <v>Сборка дольше обычного → экран 02C</v>
      </c>
      <c r="D54" s="9" t="str">
        <f aca="false">IFERROR(INDEX('Тест-кейсы'!$G$2:$G$81,MATCH($A54,'Тест-кейсы'!$A$2:$A$81,0)),"")</f>
        <v>P1</v>
      </c>
      <c r="E54" s="9" t="str">
        <f aca="false">IFERROR(INDEX('Тест-кейсы'!$I$2:$I$81,MATCH($A54,'Тест-кейсы'!$A$2:$A$81,0)),"")</f>
        <v>Sanity</v>
      </c>
      <c r="F54" s="9" t="str">
        <f aca="false">IFERROR(INDEX('Тест-кейсы'!$J$2:$J$81,MATCH($A54,'Тест-кейсы'!$A$2:$A$81,0)),"")</f>
        <v>Реальный заказ</v>
      </c>
      <c r="G54" s="17"/>
      <c r="H54" s="17"/>
      <c r="I54" s="18"/>
    </row>
    <row r="55" customFormat="false" ht="23.85" hidden="false" customHeight="false" outlineLevel="0" collapsed="false">
      <c r="A55" s="9" t="s">
        <v>381</v>
      </c>
      <c r="B55" s="10" t="str">
        <f aca="false">IFERROR(INDEX('Тест-кейсы'!$B$2:$B$81,MATCH($A55,'Тест-кейсы'!$A$2:$A$81,0)),"")</f>
        <v>Задержки</v>
      </c>
      <c r="C55" s="10" t="str">
        <f aca="false">IFERROR(INDEX('Тест-кейсы'!$C$2:$C$81,MATCH($A55,'Тест-кейсы'!$A$2:$A$81,0)),"")</f>
        <v>Сборка завершена после задержки → 02 с новым ETA</v>
      </c>
      <c r="D55" s="9" t="str">
        <f aca="false">IFERROR(INDEX('Тест-кейсы'!$G$2:$G$81,MATCH($A55,'Тест-кейсы'!$A$2:$A$81,0)),"")</f>
        <v>P1</v>
      </c>
      <c r="E55" s="9" t="str">
        <f aca="false">IFERROR(INDEX('Тест-кейсы'!$I$2:$I$81,MATCH($A55,'Тест-кейсы'!$A$2:$A$81,0)),"")</f>
        <v>Sanity</v>
      </c>
      <c r="F55" s="9" t="str">
        <f aca="false">IFERROR(INDEX('Тест-кейсы'!$J$2:$J$81,MATCH($A55,'Тест-кейсы'!$A$2:$A$81,0)),"")</f>
        <v>Реальный заказ</v>
      </c>
      <c r="G55" s="17"/>
      <c r="H55" s="17"/>
      <c r="I55" s="18"/>
    </row>
    <row r="56" customFormat="false" ht="15" hidden="false" customHeight="false" outlineLevel="0" collapsed="false">
      <c r="A56" s="9" t="s">
        <v>386</v>
      </c>
      <c r="B56" s="10" t="str">
        <f aca="false">IFERROR(INDEX('Тест-кейсы'!$B$2:$B$81,MATCH($A56,'Тест-кейсы'!$A$2:$A$81,0)),"")</f>
        <v>Задержки</v>
      </c>
      <c r="C56" s="10" t="str">
        <f aca="false">IFERROR(INDEX('Тест-кейсы'!$C$2:$C$81,MATCH($A56,'Тест-кейсы'!$A$2:$A$81,0)),"")</f>
        <v>Долгий поиск курьера → экран 02A</v>
      </c>
      <c r="D56" s="9" t="str">
        <f aca="false">IFERROR(INDEX('Тест-кейсы'!$G$2:$G$81,MATCH($A56,'Тест-кейсы'!$A$2:$A$81,0)),"")</f>
        <v>P1</v>
      </c>
      <c r="E56" s="9" t="str">
        <f aca="false">IFERROR(INDEX('Тест-кейсы'!$I$2:$I$81,MATCH($A56,'Тест-кейсы'!$A$2:$A$81,0)),"")</f>
        <v>Sanity</v>
      </c>
      <c r="F56" s="9" t="str">
        <f aca="false">IFERROR(INDEX('Тест-кейсы'!$J$2:$J$81,MATCH($A56,'Тест-кейсы'!$A$2:$A$81,0)),"")</f>
        <v>Реальный заказ</v>
      </c>
      <c r="G56" s="17"/>
      <c r="H56" s="17"/>
      <c r="I56" s="18"/>
    </row>
    <row r="57" customFormat="false" ht="15" hidden="false" customHeight="false" outlineLevel="0" collapsed="false">
      <c r="A57" s="9" t="s">
        <v>391</v>
      </c>
      <c r="B57" s="10" t="str">
        <f aca="false">IFERROR(INDEX('Тест-кейсы'!$B$2:$B$81,MATCH($A57,'Тест-кейсы'!$A$2:$A$81,0)),"")</f>
        <v>Задержки</v>
      </c>
      <c r="C57" s="10" t="str">
        <f aca="false">IFERROR(INDEX('Тест-кейсы'!$C$2:$C$81,MATCH($A57,'Тест-кейсы'!$A$2:$A$81,0)),"")</f>
        <v>Курьер найден после задержки → экран 03</v>
      </c>
      <c r="D57" s="9" t="str">
        <f aca="false">IFERROR(INDEX('Тест-кейсы'!$G$2:$G$81,MATCH($A57,'Тест-кейсы'!$A$2:$A$81,0)),"")</f>
        <v>P1</v>
      </c>
      <c r="E57" s="9" t="str">
        <f aca="false">IFERROR(INDEX('Тест-кейсы'!$I$2:$I$81,MATCH($A57,'Тест-кейсы'!$A$2:$A$81,0)),"")</f>
        <v>Sanity</v>
      </c>
      <c r="F57" s="9" t="str">
        <f aca="false">IFERROR(INDEX('Тест-кейсы'!$J$2:$J$81,MATCH($A57,'Тест-кейсы'!$A$2:$A$81,0)),"")</f>
        <v>Реальный заказ</v>
      </c>
      <c r="G57" s="17"/>
      <c r="H57" s="17"/>
      <c r="I57" s="18"/>
    </row>
    <row r="58" customFormat="false" ht="15" hidden="false" customHeight="false" outlineLevel="0" collapsed="false">
      <c r="A58" s="9" t="s">
        <v>396</v>
      </c>
      <c r="B58" s="10" t="str">
        <f aca="false">IFERROR(INDEX('Тест-кейсы'!$B$2:$B$81,MATCH($A58,'Тест-кейсы'!$A$2:$A$81,0)),"")</f>
        <v>Задержки</v>
      </c>
      <c r="C58" s="10" t="str">
        <f aca="false">IFERROR(INDEX('Тест-кейсы'!$C$2:$C$81,MATCH($A58,'Тест-кейсы'!$A$2:$A$81,0)),"")</f>
        <v>Курьер задерживается в пути → экран 04A</v>
      </c>
      <c r="D58" s="9" t="str">
        <f aca="false">IFERROR(INDEX('Тест-кейсы'!$G$2:$G$81,MATCH($A58,'Тест-кейсы'!$A$2:$A$81,0)),"")</f>
        <v>P1</v>
      </c>
      <c r="E58" s="9" t="str">
        <f aca="false">IFERROR(INDEX('Тест-кейсы'!$I$2:$I$81,MATCH($A58,'Тест-кейсы'!$A$2:$A$81,0)),"")</f>
        <v>Sanity</v>
      </c>
      <c r="F58" s="9" t="str">
        <f aca="false">IFERROR(INDEX('Тест-кейсы'!$J$2:$J$81,MATCH($A58,'Тест-кейсы'!$A$2:$A$81,0)),"")</f>
        <v>Реальный заказ</v>
      </c>
      <c r="G58" s="17"/>
      <c r="H58" s="17"/>
      <c r="I58" s="18"/>
    </row>
    <row r="59" customFormat="false" ht="15" hidden="false" customHeight="false" outlineLevel="0" collapsed="false">
      <c r="A59" s="9" t="s">
        <v>402</v>
      </c>
      <c r="B59" s="10" t="str">
        <f aca="false">IFERROR(INDEX('Тест-кейсы'!$B$2:$B$81,MATCH($A59,'Тест-кейсы'!$A$2:$A$81,0)),"")</f>
        <v>Задержки</v>
      </c>
      <c r="C59" s="10" t="str">
        <f aca="false">IFERROR(INDEX('Тест-кейсы'!$C$2:$C$81,MATCH($A59,'Тест-кейсы'!$A$2:$A$81,0)),"")</f>
        <v>Прибытие после задержки → экран 05</v>
      </c>
      <c r="D59" s="9" t="str">
        <f aca="false">IFERROR(INDEX('Тест-кейсы'!$G$2:$G$81,MATCH($A59,'Тест-кейсы'!$A$2:$A$81,0)),"")</f>
        <v>P1</v>
      </c>
      <c r="E59" s="9" t="str">
        <f aca="false">IFERROR(INDEX('Тест-кейсы'!$I$2:$I$81,MATCH($A59,'Тест-кейсы'!$A$2:$A$81,0)),"")</f>
        <v>Sanity</v>
      </c>
      <c r="F59" s="9" t="str">
        <f aca="false">IFERROR(INDEX('Тест-кейсы'!$J$2:$J$81,MATCH($A59,'Тест-кейсы'!$A$2:$A$81,0)),"")</f>
        <v>Реальный заказ</v>
      </c>
      <c r="G59" s="17"/>
      <c r="H59" s="17"/>
      <c r="I59" s="18"/>
    </row>
    <row r="60" customFormat="false" ht="15" hidden="false" customHeight="false" outlineLevel="0" collapsed="false">
      <c r="A60" s="9" t="s">
        <v>407</v>
      </c>
      <c r="B60" s="10" t="str">
        <f aca="false">IFERROR(INDEX('Тест-кейсы'!$B$2:$B$81,MATCH($A60,'Тест-кейсы'!$A$2:$A$81,0)),"")</f>
        <v>Задержки</v>
      </c>
      <c r="C60" s="10" t="str">
        <f aca="false">IFERROR(INDEX('Тест-кейсы'!$C$2:$C$81,MATCH($A60,'Тест-кейсы'!$A$2:$A$81,0)),"")</f>
        <v>Новое время одинаково у клиента и курьера</v>
      </c>
      <c r="D60" s="9" t="str">
        <f aca="false">IFERROR(INDEX('Тест-кейсы'!$G$2:$G$81,MATCH($A60,'Тест-кейсы'!$A$2:$A$81,0)),"")</f>
        <v>P2</v>
      </c>
      <c r="E60" s="9" t="str">
        <f aca="false">IFERROR(INDEX('Тест-кейсы'!$I$2:$I$81,MATCH($A60,'Тест-кейсы'!$A$2:$A$81,0)),"")</f>
        <v>Regression</v>
      </c>
      <c r="F60" s="9" t="str">
        <f aca="false">IFERROR(INDEX('Тест-кейсы'!$J$2:$J$81,MATCH($A60,'Тест-кейсы'!$A$2:$A$81,0)),"")</f>
        <v>Реальный заказ</v>
      </c>
      <c r="G60" s="17"/>
      <c r="H60" s="17"/>
      <c r="I60" s="18"/>
    </row>
    <row r="61" customFormat="false" ht="15" hidden="false" customHeight="false" outlineLevel="0" collapsed="false">
      <c r="A61" s="9" t="s">
        <v>411</v>
      </c>
      <c r="B61" s="10" t="str">
        <f aca="false">IFERROR(INDEX('Тест-кейсы'!$B$2:$B$81,MATCH($A61,'Тест-кейсы'!$A$2:$A$81,0)),"")</f>
        <v>Недоступен</v>
      </c>
      <c r="C61" s="10" t="str">
        <f aca="false">IFERROR(INDEX('Тест-кейсы'!$C$2:$C$81,MATCH($A61,'Тест-кейсы'!$A$2:$A$81,0)),"")</f>
        <v>Клиент недоступен → экран 05A</v>
      </c>
      <c r="D61" s="9" t="str">
        <f aca="false">IFERROR(INDEX('Тест-кейсы'!$G$2:$G$81,MATCH($A61,'Тест-кейсы'!$A$2:$A$81,0)),"")</f>
        <v>P1</v>
      </c>
      <c r="E61" s="9" t="str">
        <f aca="false">IFERROR(INDEX('Тест-кейсы'!$I$2:$I$81,MATCH($A61,'Тест-кейсы'!$A$2:$A$81,0)),"")</f>
        <v>Sanity</v>
      </c>
      <c r="F61" s="9" t="str">
        <f aca="false">IFERROR(INDEX('Тест-кейсы'!$J$2:$J$81,MATCH($A61,'Тест-кейсы'!$A$2:$A$81,0)),"")</f>
        <v>Реальный заказ</v>
      </c>
      <c r="G61" s="17"/>
      <c r="H61" s="17"/>
      <c r="I61" s="18"/>
    </row>
    <row r="62" customFormat="false" ht="15" hidden="false" customHeight="false" outlineLevel="0" collapsed="false">
      <c r="A62" s="9" t="s">
        <v>417</v>
      </c>
      <c r="B62" s="10" t="str">
        <f aca="false">IFERROR(INDEX('Тест-кейсы'!$B$2:$B$81,MATCH($A62,'Тест-кейсы'!$A$2:$A$81,0)),"")</f>
        <v>Недоступен</v>
      </c>
      <c r="C62" s="10" t="str">
        <f aca="false">IFERROR(INDEX('Тест-кейсы'!$C$2:$C$81,MATCH($A62,'Тест-кейсы'!$A$2:$A$81,0)),"")</f>
        <v>«Позвонить курьеру» на 05A</v>
      </c>
      <c r="D62" s="9" t="str">
        <f aca="false">IFERROR(INDEX('Тест-кейсы'!$G$2:$G$81,MATCH($A62,'Тест-кейсы'!$A$2:$A$81,0)),"")</f>
        <v>P1</v>
      </c>
      <c r="E62" s="9" t="str">
        <f aca="false">IFERROR(INDEX('Тест-кейсы'!$I$2:$I$81,MATCH($A62,'Тест-кейсы'!$A$2:$A$81,0)),"")</f>
        <v>Sanity</v>
      </c>
      <c r="F62" s="9" t="str">
        <f aca="false">IFERROR(INDEX('Тест-кейсы'!$J$2:$J$81,MATCH($A62,'Тест-кейсы'!$A$2:$A$81,0)),"")</f>
        <v>Реальный заказ</v>
      </c>
      <c r="G62" s="17"/>
      <c r="H62" s="17"/>
      <c r="I62" s="18"/>
    </row>
    <row r="63" customFormat="false" ht="15" hidden="false" customHeight="false" outlineLevel="0" collapsed="false">
      <c r="A63" s="9" t="s">
        <v>422</v>
      </c>
      <c r="B63" s="10" t="str">
        <f aca="false">IFERROR(INDEX('Тест-кейсы'!$B$2:$B$81,MATCH($A63,'Тест-кейсы'!$A$2:$A$81,0)),"")</f>
        <v>Недоступен</v>
      </c>
      <c r="C63" s="10" t="str">
        <f aca="false">IFERROR(INDEX('Тест-кейсы'!$C$2:$C$81,MATCH($A63,'Тест-кейсы'!$A$2:$A$81,0)),"")</f>
        <v>Передача после 05A → экран 06</v>
      </c>
      <c r="D63" s="9" t="str">
        <f aca="false">IFERROR(INDEX('Тест-кейсы'!$G$2:$G$81,MATCH($A63,'Тест-кейсы'!$A$2:$A$81,0)),"")</f>
        <v>P1</v>
      </c>
      <c r="E63" s="9" t="str">
        <f aca="false">IFERROR(INDEX('Тест-кейсы'!$I$2:$I$81,MATCH($A63,'Тест-кейсы'!$A$2:$A$81,0)),"")</f>
        <v>Sanity</v>
      </c>
      <c r="F63" s="9" t="str">
        <f aca="false">IFERROR(INDEX('Тест-кейсы'!$J$2:$J$81,MATCH($A63,'Тест-кейсы'!$A$2:$A$81,0)),"")</f>
        <v>Реальный заказ</v>
      </c>
      <c r="G63" s="17"/>
      <c r="H63" s="17"/>
      <c r="I63" s="18"/>
    </row>
    <row r="64" customFormat="false" ht="23.85" hidden="false" customHeight="false" outlineLevel="0" collapsed="false">
      <c r="A64" s="9" t="s">
        <v>426</v>
      </c>
      <c r="B64" s="10" t="str">
        <f aca="false">IFERROR(INDEX('Тест-кейсы'!$B$2:$B$81,MATCH($A64,'Тест-кейсы'!$A$2:$A$81,0)),"")</f>
        <v>Недоступен</v>
      </c>
      <c r="C64" s="10" t="str">
        <f aca="false">IFERROR(INDEX('Тест-кейсы'!$C$2:$C$81,MATCH($A64,'Тест-кейсы'!$A$2:$A$81,0)),"")</f>
        <v>Таймаут → экран 05B «Не удалось доставить»</v>
      </c>
      <c r="D64" s="9" t="str">
        <f aca="false">IFERROR(INDEX('Тест-кейсы'!$G$2:$G$81,MATCH($A64,'Тест-кейсы'!$A$2:$A$81,0)),"")</f>
        <v>P1</v>
      </c>
      <c r="E64" s="9" t="str">
        <f aca="false">IFERROR(INDEX('Тест-кейсы'!$I$2:$I$81,MATCH($A64,'Тест-кейсы'!$A$2:$A$81,0)),"")</f>
        <v>Sanity</v>
      </c>
      <c r="F64" s="9" t="str">
        <f aca="false">IFERROR(INDEX('Тест-кейсы'!$J$2:$J$81,MATCH($A64,'Тест-кейсы'!$A$2:$A$81,0)),"")</f>
        <v>Реальный заказ</v>
      </c>
      <c r="G64" s="17"/>
      <c r="H64" s="17"/>
      <c r="I64" s="18"/>
    </row>
    <row r="65" customFormat="false" ht="15" hidden="false" customHeight="false" outlineLevel="0" collapsed="false">
      <c r="A65" s="9" t="s">
        <v>432</v>
      </c>
      <c r="B65" s="10" t="str">
        <f aca="false">IFERROR(INDEX('Тест-кейсы'!$B$2:$B$81,MATCH($A65,'Тест-кейсы'!$A$2:$A$81,0)),"")</f>
        <v>Недоступен</v>
      </c>
      <c r="C65" s="10" t="str">
        <f aca="false">IFERROR(INDEX('Тест-кейсы'!$C$2:$C$81,MATCH($A65,'Тест-кейсы'!$A$2:$A$81,0)),"")</f>
        <v>«Связаться с поддержкой» на 05B</v>
      </c>
      <c r="D65" s="9" t="str">
        <f aca="false">IFERROR(INDEX('Тест-кейсы'!$G$2:$G$81,MATCH($A65,'Тест-кейсы'!$A$2:$A$81,0)),"")</f>
        <v>P2</v>
      </c>
      <c r="E65" s="9" t="str">
        <f aca="false">IFERROR(INDEX('Тест-кейсы'!$I$2:$I$81,MATCH($A65,'Тест-кейсы'!$A$2:$A$81,0)),"")</f>
        <v>Regression</v>
      </c>
      <c r="F65" s="9" t="str">
        <f aca="false">IFERROR(INDEX('Тест-кейсы'!$J$2:$J$81,MATCH($A65,'Тест-кейсы'!$A$2:$A$81,0)),"")</f>
        <v>Реальный заказ</v>
      </c>
      <c r="G65" s="17"/>
      <c r="H65" s="17"/>
      <c r="I65" s="18"/>
    </row>
    <row r="66" customFormat="false" ht="15" hidden="false" customHeight="false" outlineLevel="0" collapsed="false">
      <c r="A66" s="9" t="s">
        <v>437</v>
      </c>
      <c r="B66" s="10" t="str">
        <f aca="false">IFERROR(INDEX('Тест-кейсы'!$B$2:$B$81,MATCH($A66,'Тест-кейсы'!$A$2:$A$81,0)),"")</f>
        <v>Недоступен</v>
      </c>
      <c r="C66" s="10" t="str">
        <f aca="false">IFERROR(INDEX('Тест-кейсы'!$C$2:$C$81,MATCH($A66,'Тест-кейсы'!$A$2:$A$81,0)),"")</f>
        <v>Возврат после недоставки (карта)</v>
      </c>
      <c r="D66" s="9" t="str">
        <f aca="false">IFERROR(INDEX('Тест-кейсы'!$G$2:$G$81,MATCH($A66,'Тест-кейсы'!$A$2:$A$81,0)),"")</f>
        <v>P1</v>
      </c>
      <c r="E66" s="9" t="str">
        <f aca="false">IFERROR(INDEX('Тест-кейсы'!$I$2:$I$81,MATCH($A66,'Тест-кейсы'!$A$2:$A$81,0)),"")</f>
        <v>Sanity</v>
      </c>
      <c r="F66" s="9" t="str">
        <f aca="false">IFERROR(INDEX('Тест-кейсы'!$J$2:$J$81,MATCH($A66,'Тест-кейсы'!$A$2:$A$81,0)),"")</f>
        <v>Реальный заказ</v>
      </c>
      <c r="G66" s="17"/>
      <c r="H66" s="17"/>
      <c r="I66" s="18"/>
    </row>
    <row r="67" customFormat="false" ht="23.85" hidden="false" customHeight="false" outlineLevel="0" collapsed="false">
      <c r="A67" s="9" t="s">
        <v>441</v>
      </c>
      <c r="B67" s="10" t="str">
        <f aca="false">IFERROR(INDEX('Тест-кейсы'!$B$2:$B$81,MATCH($A67,'Тест-кейсы'!$A$2:$A$81,0)),"")</f>
        <v>Недоступен</v>
      </c>
      <c r="C67" s="10" t="str">
        <f aca="false">IFERROR(INDEX('Тест-кейсы'!$C$2:$C$81,MATCH($A67,'Тест-кейсы'!$A$2:$A$81,0)),"")</f>
        <v>Недоставленный заказ не возвращается в активный флоу</v>
      </c>
      <c r="D67" s="9" t="str">
        <f aca="false">IFERROR(INDEX('Тест-кейсы'!$G$2:$G$81,MATCH($A67,'Тест-кейсы'!$A$2:$A$81,0)),"")</f>
        <v>P2</v>
      </c>
      <c r="E67" s="9" t="str">
        <f aca="false">IFERROR(INDEX('Тест-кейсы'!$I$2:$I$81,MATCH($A67,'Тест-кейсы'!$A$2:$A$81,0)),"")</f>
        <v>Regression</v>
      </c>
      <c r="F67" s="9" t="str">
        <f aca="false">IFERROR(INDEX('Тест-кейсы'!$J$2:$J$81,MATCH($A67,'Тест-кейсы'!$A$2:$A$81,0)),"")</f>
        <v>Реальный заказ</v>
      </c>
      <c r="G67" s="17"/>
      <c r="H67" s="17"/>
      <c r="I67" s="18"/>
    </row>
    <row r="68" customFormat="false" ht="15" hidden="false" customHeight="false" outlineLevel="0" collapsed="false">
      <c r="A68" s="9" t="s">
        <v>445</v>
      </c>
      <c r="B68" s="10" t="str">
        <f aca="false">IFERROR(INDEX('Тест-кейсы'!$B$2:$B$81,MATCH($A68,'Тест-кейсы'!$A$2:$A$81,0)),"")</f>
        <v>Устойчивость</v>
      </c>
      <c r="C68" s="10" t="str">
        <f aca="false">IFERROR(INDEX('Тест-кейсы'!$C$2:$C$81,MATCH($A68,'Тест-кейсы'!$A$2:$A$81,0)),"")</f>
        <v>Перезапуск приложения на 02</v>
      </c>
      <c r="D68" s="9" t="str">
        <f aca="false">IFERROR(INDEX('Тест-кейсы'!$G$2:$G$81,MATCH($A68,'Тест-кейсы'!$A$2:$A$81,0)),"")</f>
        <v>P1</v>
      </c>
      <c r="E68" s="9" t="str">
        <f aca="false">IFERROR(INDEX('Тест-кейсы'!$I$2:$I$81,MATCH($A68,'Тест-кейсы'!$A$2:$A$81,0)),"")</f>
        <v>Sanity</v>
      </c>
      <c r="F68" s="9" t="str">
        <f aca="false">IFERROR(INDEX('Тест-кейсы'!$J$2:$J$81,MATCH($A68,'Тест-кейсы'!$A$2:$A$81,0)),"")</f>
        <v>Реальный заказ</v>
      </c>
      <c r="G68" s="17"/>
      <c r="H68" s="17"/>
      <c r="I68" s="18"/>
    </row>
    <row r="69" customFormat="false" ht="15" hidden="false" customHeight="false" outlineLevel="0" collapsed="false">
      <c r="A69" s="9" t="s">
        <v>451</v>
      </c>
      <c r="B69" s="10" t="str">
        <f aca="false">IFERROR(INDEX('Тест-кейсы'!$B$2:$B$81,MATCH($A69,'Тест-кейсы'!$A$2:$A$81,0)),"")</f>
        <v>Устойчивость</v>
      </c>
      <c r="C69" s="10" t="str">
        <f aca="false">IFERROR(INDEX('Тест-кейсы'!$C$2:$C$81,MATCH($A69,'Тест-кейсы'!$A$2:$A$81,0)),"")</f>
        <v>Перезапуск на 05 — таймер ожидания</v>
      </c>
      <c r="D69" s="9" t="str">
        <f aca="false">IFERROR(INDEX('Тест-кейсы'!$G$2:$G$81,MATCH($A69,'Тест-кейсы'!$A$2:$A$81,0)),"")</f>
        <v>P1</v>
      </c>
      <c r="E69" s="9" t="str">
        <f aca="false">IFERROR(INDEX('Тест-кейсы'!$I$2:$I$81,MATCH($A69,'Тест-кейсы'!$A$2:$A$81,0)),"")</f>
        <v>Sanity</v>
      </c>
      <c r="F69" s="9" t="str">
        <f aca="false">IFERROR(INDEX('Тест-кейсы'!$J$2:$J$81,MATCH($A69,'Тест-кейсы'!$A$2:$A$81,0)),"")</f>
        <v>Реальный заказ</v>
      </c>
      <c r="G69" s="17"/>
      <c r="H69" s="17"/>
      <c r="I69" s="18"/>
    </row>
    <row r="70" customFormat="false" ht="15" hidden="false" customHeight="false" outlineLevel="0" collapsed="false">
      <c r="A70" s="9" t="s">
        <v>454</v>
      </c>
      <c r="B70" s="10" t="str">
        <f aca="false">IFERROR(INDEX('Тест-кейсы'!$B$2:$B$81,MATCH($A70,'Тест-кейсы'!$A$2:$A$81,0)),"")</f>
        <v>Устойчивость</v>
      </c>
      <c r="C70" s="10" t="str">
        <f aca="false">IFERROR(INDEX('Тест-кейсы'!$C$2:$C$81,MATCH($A70,'Тест-кейсы'!$A$2:$A$81,0)),"")</f>
        <v>Сворачивание на 30 с</v>
      </c>
      <c r="D70" s="9" t="str">
        <f aca="false">IFERROR(INDEX('Тест-кейсы'!$G$2:$G$81,MATCH($A70,'Тест-кейсы'!$A$2:$A$81,0)),"")</f>
        <v>P2</v>
      </c>
      <c r="E70" s="9" t="str">
        <f aca="false">IFERROR(INDEX('Тест-кейсы'!$I$2:$I$81,MATCH($A70,'Тест-кейсы'!$A$2:$A$81,0)),"")</f>
        <v>Regression</v>
      </c>
      <c r="F70" s="9" t="str">
        <f aca="false">IFERROR(INDEX('Тест-кейсы'!$J$2:$J$81,MATCH($A70,'Тест-кейсы'!$A$2:$A$81,0)),"")</f>
        <v>Реальный заказ</v>
      </c>
      <c r="G70" s="17"/>
      <c r="H70" s="17"/>
      <c r="I70" s="18"/>
    </row>
    <row r="71" customFormat="false" ht="15" hidden="false" customHeight="false" outlineLevel="0" collapsed="false">
      <c r="A71" s="9" t="s">
        <v>458</v>
      </c>
      <c r="B71" s="10" t="str">
        <f aca="false">IFERROR(INDEX('Тест-кейсы'!$B$2:$B$81,MATCH($A71,'Тест-кейсы'!$A$2:$A$81,0)),"")</f>
        <v>Устойчивость</v>
      </c>
      <c r="C71" s="10" t="str">
        <f aca="false">IFERROR(INDEX('Тест-кейсы'!$C$2:$C$81,MATCH($A71,'Тест-кейсы'!$A$2:$A$81,0)),"")</f>
        <v>Смена статуса, пока приложение свёрнуто</v>
      </c>
      <c r="D71" s="9" t="str">
        <f aca="false">IFERROR(INDEX('Тест-кейсы'!$G$2:$G$81,MATCH($A71,'Тест-кейсы'!$A$2:$A$81,0)),"")</f>
        <v>P1</v>
      </c>
      <c r="E71" s="9" t="str">
        <f aca="false">IFERROR(INDEX('Тест-кейсы'!$I$2:$I$81,MATCH($A71,'Тест-кейсы'!$A$2:$A$81,0)),"")</f>
        <v>Sanity</v>
      </c>
      <c r="F71" s="9" t="str">
        <f aca="false">IFERROR(INDEX('Тест-кейсы'!$J$2:$J$81,MATCH($A71,'Тест-кейсы'!$A$2:$A$81,0)),"")</f>
        <v>Реальный заказ</v>
      </c>
      <c r="G71" s="17"/>
      <c r="H71" s="17"/>
      <c r="I71" s="18"/>
    </row>
    <row r="72" customFormat="false" ht="15" hidden="false" customHeight="false" outlineLevel="0" collapsed="false">
      <c r="A72" s="9" t="s">
        <v>462</v>
      </c>
      <c r="B72" s="10" t="str">
        <f aca="false">IFERROR(INDEX('Тест-кейсы'!$B$2:$B$81,MATCH($A72,'Тест-кейсы'!$A$2:$A$81,0)),"")</f>
        <v>Устойчивость</v>
      </c>
      <c r="C72" s="10" t="str">
        <f aca="false">IFERROR(INDEX('Тест-кейсы'!$C$2:$C$81,MATCH($A72,'Тест-кейсы'!$A$2:$A$81,0)),"")</f>
        <v>Нет сети во время смены статуса</v>
      </c>
      <c r="D72" s="9" t="str">
        <f aca="false">IFERROR(INDEX('Тест-кейсы'!$G$2:$G$81,MATCH($A72,'Тест-кейсы'!$A$2:$A$81,0)),"")</f>
        <v>P1</v>
      </c>
      <c r="E72" s="9" t="str">
        <f aca="false">IFERROR(INDEX('Тест-кейсы'!$I$2:$I$81,MATCH($A72,'Тест-кейсы'!$A$2:$A$81,0)),"")</f>
        <v>Sanity</v>
      </c>
      <c r="F72" s="9" t="str">
        <f aca="false">IFERROR(INDEX('Тест-кейсы'!$J$2:$J$81,MATCH($A72,'Тест-кейсы'!$A$2:$A$81,0)),"")</f>
        <v>Реальный заказ</v>
      </c>
      <c r="G72" s="17"/>
      <c r="H72" s="17"/>
      <c r="I72" s="18"/>
    </row>
    <row r="73" customFormat="false" ht="15" hidden="false" customHeight="false" outlineLevel="0" collapsed="false">
      <c r="A73" s="9" t="s">
        <v>467</v>
      </c>
      <c r="B73" s="10" t="str">
        <f aca="false">IFERROR(INDEX('Тест-кейсы'!$B$2:$B$81,MATCH($A73,'Тест-кейсы'!$A$2:$A$81,0)),"")</f>
        <v>Устойчивость</v>
      </c>
      <c r="C73" s="10" t="str">
        <f aca="false">IFERROR(INDEX('Тест-кейсы'!$C$2:$C$81,MATCH($A73,'Тест-кейсы'!$A$2:$A$81,0)),"")</f>
        <v>Скорость обновления статуса</v>
      </c>
      <c r="D73" s="9" t="str">
        <f aca="false">IFERROR(INDEX('Тест-кейсы'!$G$2:$G$81,MATCH($A73,'Тест-кейсы'!$A$2:$A$81,0)),"")</f>
        <v>P1</v>
      </c>
      <c r="E73" s="9" t="str">
        <f aca="false">IFERROR(INDEX('Тест-кейсы'!$I$2:$I$81,MATCH($A73,'Тест-кейсы'!$A$2:$A$81,0)),"")</f>
        <v>Sanity</v>
      </c>
      <c r="F73" s="9" t="str">
        <f aca="false">IFERROR(INDEX('Тест-кейсы'!$J$2:$J$81,MATCH($A73,'Тест-кейсы'!$A$2:$A$81,0)),"")</f>
        <v>Реальный заказ</v>
      </c>
      <c r="G73" s="17"/>
      <c r="H73" s="17"/>
      <c r="I73" s="18"/>
    </row>
    <row r="74" customFormat="false" ht="15" hidden="false" customHeight="false" outlineLevel="0" collapsed="false">
      <c r="A74" s="9" t="s">
        <v>473</v>
      </c>
      <c r="B74" s="10" t="str">
        <f aca="false">IFERROR(INDEX('Тест-кейсы'!$B$2:$B$81,MATCH($A74,'Тест-кейсы'!$A$2:$A$81,0)),"")</f>
        <v>Устойчивость</v>
      </c>
      <c r="C74" s="10" t="str">
        <f aca="false">IFERROR(INDEX('Тест-кейсы'!$C$2:$C$81,MATCH($A74,'Тест-кейсы'!$A$2:$A$81,0)),"")</f>
        <v>Push-уведомления о смене статуса</v>
      </c>
      <c r="D74" s="9" t="str">
        <f aca="false">IFERROR(INDEX('Тест-кейсы'!$G$2:$G$81,MATCH($A74,'Тест-кейсы'!$A$2:$A$81,0)),"")</f>
        <v>P1</v>
      </c>
      <c r="E74" s="9" t="str">
        <f aca="false">IFERROR(INDEX('Тест-кейсы'!$I$2:$I$81,MATCH($A74,'Тест-кейсы'!$A$2:$A$81,0)),"")</f>
        <v>Sanity</v>
      </c>
      <c r="F74" s="9" t="str">
        <f aca="false">IFERROR(INDEX('Тест-кейсы'!$J$2:$J$81,MATCH($A74,'Тест-кейсы'!$A$2:$A$81,0)),"")</f>
        <v>Реальный заказ</v>
      </c>
      <c r="G74" s="17"/>
      <c r="H74" s="17"/>
      <c r="I74" s="18"/>
    </row>
    <row r="75" customFormat="false" ht="23.85" hidden="false" customHeight="false" outlineLevel="0" collapsed="false">
      <c r="A75" s="9" t="s">
        <v>479</v>
      </c>
      <c r="B75" s="10" t="str">
        <f aca="false">IFERROR(INDEX('Тест-кейсы'!$B$2:$B$81,MATCH($A75,'Тест-кейсы'!$A$2:$A$81,0)),"")</f>
        <v>Устойчивость</v>
      </c>
      <c r="C75" s="10" t="str">
        <f aca="false">IFERROR(INDEX('Тест-кейсы'!$C$2:$C$81,MATCH($A75,'Тест-кейсы'!$A$2:$A$81,0)),"")</f>
        <v>Открытие из уведомления при закрытом приложении</v>
      </c>
      <c r="D75" s="9" t="str">
        <f aca="false">IFERROR(INDEX('Тест-кейсы'!$G$2:$G$81,MATCH($A75,'Тест-кейсы'!$A$2:$A$81,0)),"")</f>
        <v>P2</v>
      </c>
      <c r="E75" s="9" t="str">
        <f aca="false">IFERROR(INDEX('Тест-кейсы'!$I$2:$I$81,MATCH($A75,'Тест-кейсы'!$A$2:$A$81,0)),"")</f>
        <v>Regression</v>
      </c>
      <c r="F75" s="9" t="str">
        <f aca="false">IFERROR(INDEX('Тест-кейсы'!$J$2:$J$81,MATCH($A75,'Тест-кейсы'!$A$2:$A$81,0)),"")</f>
        <v>Реальный заказ</v>
      </c>
      <c r="G75" s="17"/>
      <c r="H75" s="17"/>
      <c r="I75" s="18"/>
    </row>
    <row r="76" customFormat="false" ht="15" hidden="false" customHeight="false" outlineLevel="0" collapsed="false">
      <c r="A76" s="9" t="s">
        <v>484</v>
      </c>
      <c r="B76" s="10" t="str">
        <f aca="false">IFERROR(INDEX('Тест-кейсы'!$B$2:$B$81,MATCH($A76,'Тест-кейсы'!$A$2:$A$81,0)),"")</f>
        <v>Оператор</v>
      </c>
      <c r="C76" s="10" t="str">
        <f aca="false">IFERROR(INDEX('Тест-кейсы'!$C$2:$C$81,MATCH($A76,'Тест-кейсы'!$A$2:$A$81,0)),"")</f>
        <v>Новый заказ появляется у оператора</v>
      </c>
      <c r="D76" s="9" t="str">
        <f aca="false">IFERROR(INDEX('Тест-кейсы'!$G$2:$G$81,MATCH($A76,'Тест-кейсы'!$A$2:$A$81,0)),"")</f>
        <v>P0</v>
      </c>
      <c r="E76" s="9" t="str">
        <f aca="false">IFERROR(INDEX('Тест-кейсы'!$I$2:$I$81,MATCH($A76,'Тест-кейсы'!$A$2:$A$81,0)),"")</f>
        <v>Smoke</v>
      </c>
      <c r="F76" s="9" t="str">
        <f aca="false">IFERROR(INDEX('Тест-кейсы'!$J$2:$J$81,MATCH($A76,'Тест-кейсы'!$A$2:$A$81,0)),"")</f>
        <v>Безопасно</v>
      </c>
      <c r="G76" s="17"/>
      <c r="H76" s="17"/>
      <c r="I76" s="18"/>
    </row>
    <row r="77" customFormat="false" ht="15" hidden="false" customHeight="false" outlineLevel="0" collapsed="false">
      <c r="A77" s="9" t="s">
        <v>491</v>
      </c>
      <c r="B77" s="10" t="str">
        <f aca="false">IFERROR(INDEX('Тест-кейсы'!$B$2:$B$81,MATCH($A77,'Тест-кейсы'!$A$2:$A$81,0)),"")</f>
        <v>Оператор</v>
      </c>
      <c r="C77" s="10" t="str">
        <f aca="false">IFERROR(INDEX('Тест-кейсы'!$C$2:$C$81,MATCH($A77,'Тест-кейсы'!$A$2:$A$81,0)),"")</f>
        <v>Карточка заказа совпадает с клиентом</v>
      </c>
      <c r="D77" s="9" t="str">
        <f aca="false">IFERROR(INDEX('Тест-кейсы'!$G$2:$G$81,MATCH($A77,'Тест-кейсы'!$A$2:$A$81,0)),"")</f>
        <v>P0</v>
      </c>
      <c r="E77" s="9" t="str">
        <f aca="false">IFERROR(INDEX('Тест-кейсы'!$I$2:$I$81,MATCH($A77,'Тест-кейсы'!$A$2:$A$81,0)),"")</f>
        <v>Smoke</v>
      </c>
      <c r="F77" s="9" t="str">
        <f aca="false">IFERROR(INDEX('Тест-кейсы'!$J$2:$J$81,MATCH($A77,'Тест-кейсы'!$A$2:$A$81,0)),"")</f>
        <v>Безопасно</v>
      </c>
      <c r="G77" s="17"/>
      <c r="H77" s="17"/>
      <c r="I77" s="18"/>
    </row>
    <row r="78" customFormat="false" ht="15" hidden="false" customHeight="false" outlineLevel="0" collapsed="false">
      <c r="A78" s="9" t="s">
        <v>497</v>
      </c>
      <c r="B78" s="10" t="str">
        <f aca="false">IFERROR(INDEX('Тест-кейсы'!$B$2:$B$81,MATCH($A78,'Тест-кейсы'!$A$2:$A$81,0)),"")</f>
        <v>Оператор</v>
      </c>
      <c r="C78" s="10" t="str">
        <f aca="false">IFERROR(INDEX('Тест-кейсы'!$C$2:$C$81,MATCH($A78,'Тест-кейсы'!$A$2:$A$81,0)),"")</f>
        <v>История статусов</v>
      </c>
      <c r="D78" s="9" t="str">
        <f aca="false">IFERROR(INDEX('Тест-кейсы'!$G$2:$G$81,MATCH($A78,'Тест-кейсы'!$A$2:$A$81,0)),"")</f>
        <v>P1</v>
      </c>
      <c r="E78" s="9" t="str">
        <f aca="false">IFERROR(INDEX('Тест-кейсы'!$I$2:$I$81,MATCH($A78,'Тест-кейсы'!$A$2:$A$81,0)),"")</f>
        <v>Sanity</v>
      </c>
      <c r="F78" s="9" t="str">
        <f aca="false">IFERROR(INDEX('Тест-кейсы'!$J$2:$J$81,MATCH($A78,'Тест-кейсы'!$A$2:$A$81,0)),"")</f>
        <v>Безопасно</v>
      </c>
      <c r="G78" s="17"/>
      <c r="H78" s="17"/>
      <c r="I78" s="18"/>
    </row>
    <row r="79" customFormat="false" ht="15" hidden="false" customHeight="false" outlineLevel="0" collapsed="false">
      <c r="A79" s="9" t="s">
        <v>503</v>
      </c>
      <c r="B79" s="10" t="str">
        <f aca="false">IFERROR(INDEX('Тест-кейсы'!$B$2:$B$81,MATCH($A79,'Тест-кейсы'!$A$2:$A$81,0)),"")</f>
        <v>Оператор</v>
      </c>
      <c r="C79" s="10" t="str">
        <f aca="false">IFERROR(INDEX('Тест-кейсы'!$C$2:$C$81,MATCH($A79,'Тест-кейсы'!$A$2:$A$81,0)),"")</f>
        <v>Фильтры статусов</v>
      </c>
      <c r="D79" s="9" t="str">
        <f aca="false">IFERROR(INDEX('Тест-кейсы'!$G$2:$G$81,MATCH($A79,'Тест-кейсы'!$A$2:$A$81,0)),"")</f>
        <v>P1</v>
      </c>
      <c r="E79" s="9" t="str">
        <f aca="false">IFERROR(INDEX('Тест-кейсы'!$I$2:$I$81,MATCH($A79,'Тест-кейсы'!$A$2:$A$81,0)),"")</f>
        <v>Sanity</v>
      </c>
      <c r="F79" s="9" t="str">
        <f aca="false">IFERROR(INDEX('Тест-кейсы'!$J$2:$J$81,MATCH($A79,'Тест-кейсы'!$A$2:$A$81,0)),"")</f>
        <v>Безопасно</v>
      </c>
      <c r="G79" s="17"/>
      <c r="H79" s="17"/>
      <c r="I79" s="18"/>
    </row>
    <row r="80" customFormat="false" ht="15" hidden="false" customHeight="false" outlineLevel="0" collapsed="false">
      <c r="A80" s="9" t="s">
        <v>508</v>
      </c>
      <c r="B80" s="10" t="str">
        <f aca="false">IFERROR(INDEX('Тест-кейсы'!$B$2:$B$81,MATCH($A80,'Тест-кейсы'!$A$2:$A$81,0)),"")</f>
        <v>Оператор</v>
      </c>
      <c r="C80" s="10" t="str">
        <f aca="false">IFERROR(INDEX('Тест-кейсы'!$C$2:$C$81,MATCH($A80,'Тест-кейсы'!$A$2:$A$81,0)),"")</f>
        <v>Курьер виден в заказе</v>
      </c>
      <c r="D80" s="9" t="str">
        <f aca="false">IFERROR(INDEX('Тест-кейсы'!$G$2:$G$81,MATCH($A80,'Тест-кейсы'!$A$2:$A$81,0)),"")</f>
        <v>P1</v>
      </c>
      <c r="E80" s="9" t="str">
        <f aca="false">IFERROR(INDEX('Тест-кейсы'!$I$2:$I$81,MATCH($A80,'Тест-кейсы'!$A$2:$A$81,0)),"")</f>
        <v>Sanity</v>
      </c>
      <c r="F80" s="9" t="str">
        <f aca="false">IFERROR(INDEX('Тест-кейсы'!$J$2:$J$81,MATCH($A80,'Тест-кейсы'!$A$2:$A$81,0)),"")</f>
        <v>Безопасно</v>
      </c>
      <c r="G80" s="17"/>
      <c r="H80" s="17"/>
      <c r="I80" s="18"/>
    </row>
    <row r="81" customFormat="false" ht="15" hidden="false" customHeight="false" outlineLevel="0" collapsed="false">
      <c r="A81" s="9" t="s">
        <v>513</v>
      </c>
      <c r="B81" s="10" t="str">
        <f aca="false">IFERROR(INDEX('Тест-кейсы'!$B$2:$B$81,MATCH($A81,'Тест-кейсы'!$A$2:$A$81,0)),"")</f>
        <v>Оператор</v>
      </c>
      <c r="C81" s="10" t="str">
        <f aca="false">IFERROR(INDEX('Тест-кейсы'!$C$2:$C$81,MATCH($A81,'Тест-кейсы'!$A$2:$A$81,0)),"")</f>
        <v>Проблемные заказы заметны оператору</v>
      </c>
      <c r="D81" s="9" t="str">
        <f aca="false">IFERROR(INDEX('Тест-кейсы'!$G$2:$G$81,MATCH($A81,'Тест-кейсы'!$A$2:$A$81,0)),"")</f>
        <v>P1</v>
      </c>
      <c r="E81" s="9" t="str">
        <f aca="false">IFERROR(INDEX('Тест-кейсы'!$I$2:$I$81,MATCH($A81,'Тест-кейсы'!$A$2:$A$81,0)),"")</f>
        <v>Sanity</v>
      </c>
      <c r="F81" s="9" t="str">
        <f aca="false">IFERROR(INDEX('Тест-кейсы'!$J$2:$J$81,MATCH($A81,'Тест-кейсы'!$A$2:$A$81,0)),"")</f>
        <v>Безопасно</v>
      </c>
      <c r="G81" s="17"/>
      <c r="H81" s="17"/>
      <c r="I81" s="18"/>
    </row>
    <row r="82" customFormat="false" ht="15" hidden="false" customHeight="false" outlineLevel="0" collapsed="false">
      <c r="A82" s="9" t="s">
        <v>519</v>
      </c>
      <c r="B82" s="10" t="str">
        <f aca="false">IFERROR(INDEX('Тест-кейсы'!$B$2:$B$81,MATCH($A82,'Тест-кейсы'!$A$2:$A$81,0)),"")</f>
        <v>Оператор</v>
      </c>
      <c r="C82" s="10" t="str">
        <f aca="false">IFERROR(INDEX('Тест-кейсы'!$C$2:$C$81,MATCH($A82,'Тест-кейсы'!$A$2:$A$81,0)),"")</f>
        <v>Уведомления оператора</v>
      </c>
      <c r="D82" s="9" t="str">
        <f aca="false">IFERROR(INDEX('Тест-кейсы'!$G$2:$G$81,MATCH($A82,'Тест-кейсы'!$A$2:$A$81,0)),"")</f>
        <v>P2</v>
      </c>
      <c r="E82" s="9" t="str">
        <f aca="false">IFERROR(INDEX('Тест-кейсы'!$I$2:$I$81,MATCH($A82,'Тест-кейсы'!$A$2:$A$81,0)),"")</f>
        <v>Regression</v>
      </c>
      <c r="F82" s="9" t="str">
        <f aca="false">IFERROR(INDEX('Тест-кейсы'!$J$2:$J$81,MATCH($A82,'Тест-кейсы'!$A$2:$A$81,0)),"")</f>
        <v>Безопасно</v>
      </c>
      <c r="G82" s="17"/>
      <c r="H82" s="17"/>
      <c r="I82" s="18"/>
    </row>
    <row r="83" customFormat="false" ht="15" hidden="false" customHeight="false" outlineLevel="0" collapsed="false">
      <c r="A83" s="9" t="s">
        <v>524</v>
      </c>
      <c r="B83" s="10" t="str">
        <f aca="false">IFERROR(INDEX('Тест-кейсы'!$B$2:$B$81,MATCH($A83,'Тест-кейсы'!$A$2:$A$81,0)),"")</f>
        <v>Оператор</v>
      </c>
      <c r="C83" s="10" t="str">
        <f aca="false">IFERROR(INDEX('Тест-кейсы'!$C$2:$C$81,MATCH($A83,'Тест-кейсы'!$A$2:$A$81,0)),"")</f>
        <v>Ручная смена статуса оператором</v>
      </c>
      <c r="D83" s="9" t="str">
        <f aca="false">IFERROR(INDEX('Тест-кейсы'!$G$2:$G$81,MATCH($A83,'Тест-кейсы'!$A$2:$A$81,0)),"")</f>
        <v>P2</v>
      </c>
      <c r="E83" s="9" t="str">
        <f aca="false">IFERROR(INDEX('Тест-кейсы'!$I$2:$I$81,MATCH($A83,'Тест-кейсы'!$A$2:$A$81,0)),"")</f>
        <v>Regression</v>
      </c>
      <c r="F83" s="9" t="str">
        <f aca="false">IFERROR(INDEX('Тест-кейсы'!$J$2:$J$81,MATCH($A83,'Тест-кейсы'!$A$2:$A$81,0)),"")</f>
        <v>Меняет данные</v>
      </c>
      <c r="G83" s="17"/>
      <c r="H83" s="17"/>
      <c r="I83" s="18"/>
    </row>
    <row r="84" customFormat="false" ht="15" hidden="false" customHeight="false" outlineLevel="0" collapsed="false">
      <c r="A84" s="9" t="s">
        <v>530</v>
      </c>
      <c r="B84" s="10" t="str">
        <f aca="false">IFERROR(INDEX('Тест-кейсы'!$B$2:$B$81,MATCH($A84,'Тест-кейсы'!$A$2:$A$81,0)),"")</f>
        <v>Оператор</v>
      </c>
      <c r="C84" s="10" t="str">
        <f aca="false">IFERROR(INDEX('Тест-кейсы'!$C$2:$C$81,MATCH($A84,'Тест-кейсы'!$A$2:$A$81,0)),"")</f>
        <v>Доступ роли «Оператор»</v>
      </c>
      <c r="D84" s="9" t="str">
        <f aca="false">IFERROR(INDEX('Тест-кейсы'!$G$2:$G$81,MATCH($A84,'Тест-кейсы'!$A$2:$A$81,0)),"")</f>
        <v>P2</v>
      </c>
      <c r="E84" s="9" t="str">
        <f aca="false">IFERROR(INDEX('Тест-кейсы'!$I$2:$I$81,MATCH($A84,'Тест-кейсы'!$A$2:$A$81,0)),"")</f>
        <v>Regression</v>
      </c>
      <c r="F84" s="9" t="str">
        <f aca="false">IFERROR(INDEX('Тест-кейсы'!$J$2:$J$81,MATCH($A84,'Тест-кейсы'!$A$2:$A$81,0)),"")</f>
        <v>Безопасно</v>
      </c>
      <c r="G84" s="17"/>
      <c r="H84" s="17"/>
      <c r="I84" s="18"/>
    </row>
    <row r="85" customFormat="false" ht="15" hidden="false" customHeight="false" outlineLevel="0" collapsed="false">
      <c r="A85" s="9" t="s">
        <v>536</v>
      </c>
      <c r="B85" s="10" t="str">
        <f aca="false">IFERROR(INDEX('Тест-кейсы'!$B$2:$B$81,MATCH($A85,'Тест-кейсы'!$A$2:$A$81,0)),"")</f>
        <v>Оператор</v>
      </c>
      <c r="C85" s="10" t="str">
        <f aca="false">IFERROR(INDEX('Тест-кейсы'!$C$2:$C$81,MATCH($A85,'Тест-кейсы'!$A$2:$A$81,0)),"")</f>
        <v>Контакты поддержки в панели</v>
      </c>
      <c r="D85" s="9" t="str">
        <f aca="false">IFERROR(INDEX('Тест-кейсы'!$G$2:$G$81,MATCH($A85,'Тест-кейсы'!$A$2:$A$81,0)),"")</f>
        <v>P1</v>
      </c>
      <c r="E85" s="9" t="str">
        <f aca="false">IFERROR(INDEX('Тест-кейсы'!$I$2:$I$81,MATCH($A85,'Тест-кейсы'!$A$2:$A$81,0)),"")</f>
        <v>Sanity</v>
      </c>
      <c r="F85" s="9" t="str">
        <f aca="false">IFERROR(INDEX('Тест-кейсы'!$J$2:$J$81,MATCH($A85,'Тест-кейсы'!$A$2:$A$81,0)),"")</f>
        <v>Безопасно</v>
      </c>
      <c r="G85" s="17"/>
      <c r="H85" s="17"/>
      <c r="I85" s="18"/>
    </row>
    <row r="86" customFormat="false" ht="15" hidden="false" customHeight="false" outlineLevel="0" collapsed="false">
      <c r="A86" s="9" t="s">
        <v>542</v>
      </c>
      <c r="B86" s="10" t="str">
        <f aca="false">IFERROR(INDEX('Тест-кейсы'!$B$2:$B$81,MATCH($A86,'Тест-кейсы'!$A$2:$A$81,0)),"")</f>
        <v>Оператор</v>
      </c>
      <c r="C86" s="10" t="str">
        <f aca="false">IFERROR(INDEX('Тест-кейсы'!$C$2:$C$81,MATCH($A86,'Тест-кейсы'!$A$2:$A$81,0)),"")</f>
        <v>Поиск заказа</v>
      </c>
      <c r="D86" s="9" t="str">
        <f aca="false">IFERROR(INDEX('Тест-кейсы'!$G$2:$G$81,MATCH($A86,'Тест-кейсы'!$A$2:$A$81,0)),"")</f>
        <v>P2</v>
      </c>
      <c r="E86" s="9" t="str">
        <f aca="false">IFERROR(INDEX('Тест-кейсы'!$I$2:$I$81,MATCH($A86,'Тест-кейсы'!$A$2:$A$81,0)),"")</f>
        <v>Regression</v>
      </c>
      <c r="F86" s="9" t="str">
        <f aca="false">IFERROR(INDEX('Тест-кейсы'!$J$2:$J$81,MATCH($A86,'Тест-кейсы'!$A$2:$A$81,0)),"")</f>
        <v>Безопасно</v>
      </c>
      <c r="G86" s="17"/>
      <c r="H86" s="17"/>
      <c r="I86" s="18"/>
    </row>
    <row r="87" customFormat="false" ht="15" hidden="false" customHeight="false" outlineLevel="0" collapsed="false">
      <c r="A87" s="9" t="s">
        <v>547</v>
      </c>
      <c r="B87" s="10" t="str">
        <f aca="false">IFERROR(INDEX('Тест-кейсы'!$B$2:$B$81,MATCH($A87,'Тест-кейсы'!$A$2:$A$81,0)),"")</f>
        <v>Курьер</v>
      </c>
      <c r="C87" s="10" t="str">
        <f aca="false">IFERROR(INDEX('Тест-кейсы'!$C$2:$C$81,MATCH($A87,'Тест-кейсы'!$A$2:$A$81,0)),"")</f>
        <v>Заказ в ленте курьера</v>
      </c>
      <c r="D87" s="9" t="str">
        <f aca="false">IFERROR(INDEX('Тест-кейсы'!$G$2:$G$81,MATCH($A87,'Тест-кейсы'!$A$2:$A$81,0)),"")</f>
        <v>P0</v>
      </c>
      <c r="E87" s="9" t="str">
        <f aca="false">IFERROR(INDEX('Тест-кейсы'!$I$2:$I$81,MATCH($A87,'Тест-кейсы'!$A$2:$A$81,0)),"")</f>
        <v>Smoke</v>
      </c>
      <c r="F87" s="9" t="str">
        <f aca="false">IFERROR(INDEX('Тест-кейсы'!$J$2:$J$81,MATCH($A87,'Тест-кейсы'!$A$2:$A$81,0)),"")</f>
        <v>Реальный заказ</v>
      </c>
      <c r="G87" s="17"/>
      <c r="H87" s="17"/>
      <c r="I87" s="18"/>
    </row>
    <row r="88" customFormat="false" ht="15" hidden="false" customHeight="false" outlineLevel="0" collapsed="false">
      <c r="A88" s="9" t="s">
        <v>553</v>
      </c>
      <c r="B88" s="10" t="str">
        <f aca="false">IFERROR(INDEX('Тест-кейсы'!$B$2:$B$81,MATCH($A88,'Тест-кейсы'!$A$2:$A$81,0)),"")</f>
        <v>Курьер</v>
      </c>
      <c r="C88" s="10" t="str">
        <f aca="false">IFERROR(INDEX('Тест-кейсы'!$C$2:$C$81,MATCH($A88,'Тест-кейсы'!$A$2:$A$81,0)),"")</f>
        <v>Действия курьера по этапам</v>
      </c>
      <c r="D88" s="9" t="str">
        <f aca="false">IFERROR(INDEX('Тест-кейсы'!$G$2:$G$81,MATCH($A88,'Тест-кейсы'!$A$2:$A$81,0)),"")</f>
        <v>P1</v>
      </c>
      <c r="E88" s="9" t="str">
        <f aca="false">IFERROR(INDEX('Тест-кейсы'!$I$2:$I$81,MATCH($A88,'Тест-кейсы'!$A$2:$A$81,0)),"")</f>
        <v>Sanity</v>
      </c>
      <c r="F88" s="9" t="str">
        <f aca="false">IFERROR(INDEX('Тест-кейсы'!$J$2:$J$81,MATCH($A88,'Тест-кейсы'!$A$2:$A$81,0)),"")</f>
        <v>Реальный заказ</v>
      </c>
      <c r="G88" s="17"/>
      <c r="H88" s="17"/>
      <c r="I88" s="18"/>
    </row>
    <row r="89" customFormat="false" ht="15" hidden="false" customHeight="false" outlineLevel="0" collapsed="false">
      <c r="A89" s="9" t="s">
        <v>558</v>
      </c>
      <c r="B89" s="10" t="str">
        <f aca="false">IFERROR(INDEX('Тест-кейсы'!$B$2:$B$81,MATCH($A89,'Тест-кейсы'!$A$2:$A$81,0)),"")</f>
        <v>Курьер</v>
      </c>
      <c r="C89" s="10" t="str">
        <f aca="false">IFERROR(INDEX('Тест-кейсы'!$C$2:$C$81,MATCH($A89,'Тест-кейсы'!$A$2:$A$81,0)),"")</f>
        <v>Таймер ожидания у курьера</v>
      </c>
      <c r="D89" s="9" t="str">
        <f aca="false">IFERROR(INDEX('Тест-кейсы'!$G$2:$G$81,MATCH($A89,'Тест-кейсы'!$A$2:$A$81,0)),"")</f>
        <v>P2</v>
      </c>
      <c r="E89" s="9" t="str">
        <f aca="false">IFERROR(INDEX('Тест-кейсы'!$I$2:$I$81,MATCH($A89,'Тест-кейсы'!$A$2:$A$81,0)),"")</f>
        <v>Regression</v>
      </c>
      <c r="F89" s="9" t="str">
        <f aca="false">IFERROR(INDEX('Тест-кейсы'!$J$2:$J$81,MATCH($A89,'Тест-кейсы'!$A$2:$A$81,0)),"")</f>
        <v>Реальный заказ</v>
      </c>
      <c r="G89" s="17"/>
      <c r="H89" s="17"/>
      <c r="I89" s="18"/>
    </row>
    <row r="90" customFormat="false" ht="15" hidden="false" customHeight="false" outlineLevel="0" collapsed="false">
      <c r="A90" s="9" t="s">
        <v>562</v>
      </c>
      <c r="B90" s="10" t="str">
        <f aca="false">IFERROR(INDEX('Тест-кейсы'!$B$2:$B$81,MATCH($A90,'Тест-кейсы'!$A$2:$A$81,0)),"")</f>
        <v>Курьер</v>
      </c>
      <c r="C90" s="10" t="str">
        <f aca="false">IFERROR(INDEX('Тест-кейсы'!$C$2:$C$81,MATCH($A90,'Тест-кейсы'!$A$2:$A$81,0)),"")</f>
        <v>Кнопка «Клиент не отвечает»</v>
      </c>
      <c r="D90" s="9" t="str">
        <f aca="false">IFERROR(INDEX('Тест-кейсы'!$G$2:$G$81,MATCH($A90,'Тест-кейсы'!$A$2:$A$81,0)),"")</f>
        <v>P1</v>
      </c>
      <c r="E90" s="9" t="str">
        <f aca="false">IFERROR(INDEX('Тест-кейсы'!$I$2:$I$81,MATCH($A90,'Тест-кейсы'!$A$2:$A$81,0)),"")</f>
        <v>Sanity</v>
      </c>
      <c r="F90" s="9" t="str">
        <f aca="false">IFERROR(INDEX('Тест-кейсы'!$J$2:$J$81,MATCH($A90,'Тест-кейсы'!$A$2:$A$81,0)),"")</f>
        <v>Реальный заказ</v>
      </c>
      <c r="G90" s="17"/>
      <c r="H90" s="17"/>
      <c r="I90" s="18"/>
    </row>
    <row r="91" customFormat="false" ht="15" hidden="false" customHeight="false" outlineLevel="0" collapsed="false">
      <c r="A91" s="9" t="s">
        <v>566</v>
      </c>
      <c r="B91" s="10" t="str">
        <f aca="false">IFERROR(INDEX('Тест-кейсы'!$B$2:$B$81,MATCH($A91,'Тест-кейсы'!$A$2:$A$81,0)),"")</f>
        <v>Курьер</v>
      </c>
      <c r="C91" s="10" t="str">
        <f aca="false">IFERROR(INDEX('Тест-кейсы'!$C$2:$C$81,MATCH($A91,'Тест-кейсы'!$A$2:$A$81,0)),"")</f>
        <v>Инструкции курьеру при недоставке</v>
      </c>
      <c r="D91" s="9" t="str">
        <f aca="false">IFERROR(INDEX('Тест-кейсы'!$G$2:$G$81,MATCH($A91,'Тест-кейсы'!$A$2:$A$81,0)),"")</f>
        <v>P2</v>
      </c>
      <c r="E91" s="9" t="str">
        <f aca="false">IFERROR(INDEX('Тест-кейсы'!$I$2:$I$81,MATCH($A91,'Тест-кейсы'!$A$2:$A$81,0)),"")</f>
        <v>Regression</v>
      </c>
      <c r="F91" s="9" t="str">
        <f aca="false">IFERROR(INDEX('Тест-кейсы'!$J$2:$J$81,MATCH($A91,'Тест-кейсы'!$A$2:$A$81,0)),"")</f>
        <v>Реальный заказ</v>
      </c>
      <c r="G91" s="17"/>
      <c r="H91" s="17"/>
      <c r="I91" s="18"/>
    </row>
  </sheetData>
  <autoFilter ref="A11:I91"/>
  <mergeCells count="6">
    <mergeCell ref="B3:C3"/>
    <mergeCell ref="B4:C4"/>
    <mergeCell ref="B5:C5"/>
    <mergeCell ref="B6:C6"/>
    <mergeCell ref="B7:C7"/>
    <mergeCell ref="B8:C8"/>
  </mergeCells>
  <conditionalFormatting sqref="G12:G91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"Blocked"</formula>
    </cfRule>
    <cfRule type="cellIs" priority="5" operator="equal" aboveAverage="0" equalAverage="0" bottom="0" percent="0" rank="0" text="" dxfId="15">
      <formula>"Skip"</formula>
    </cfRule>
  </conditionalFormatting>
  <conditionalFormatting sqref="E12:E91">
    <cfRule type="cellIs" priority="6" operator="equal" aboveAverage="0" equalAverage="0" bottom="0" percent="0" rank="0" text="" dxfId="8">
      <formula>"Smoke"</formula>
    </cfRule>
    <cfRule type="cellIs" priority="7" operator="equal" aboveAverage="0" equalAverage="0" bottom="0" percent="0" rank="0" text="" dxfId="9">
      <formula>"Sanity"</formula>
    </cfRule>
    <cfRule type="cellIs" priority="8" operator="equal" aboveAverage="0" equalAverage="0" bottom="0" percent="0" rank="0" text="" dxfId="10">
      <formula>"Regression"</formula>
    </cfRule>
  </conditionalFormatting>
  <dataValidations count="2">
    <dataValidation allowBlank="true" errorStyle="stop" operator="between" showDropDown="false" showErrorMessage="false" showInputMessage="false" sqref="B7" type="list">
      <formula1>"Smoke,Sanity,Регресс,Ретест"</formula1>
      <formula2>0</formula2>
    </dataValidation>
    <dataValidation allowBlank="true" errorStyle="stop" operator="between" showDropDown="false" showErrorMessage="false" showInputMessage="false" sqref="G12:G91" type="list">
      <formula1>"Pass,Fail,Blocked,Skip"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45"/>
    <col collapsed="false" customWidth="true" hidden="false" outlineLevel="0" max="6" min="6" style="0" width="36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34"/>
  </cols>
  <sheetData>
    <row r="1" customFormat="false" ht="23.85" hidden="false" customHeight="false" outlineLevel="0" collapsed="false">
      <c r="A1" s="7" t="s">
        <v>131</v>
      </c>
      <c r="B1" s="7" t="s">
        <v>132</v>
      </c>
      <c r="C1" s="7" t="s">
        <v>588</v>
      </c>
      <c r="D1" s="7" t="s">
        <v>135</v>
      </c>
      <c r="E1" s="7" t="s">
        <v>589</v>
      </c>
      <c r="F1" s="7" t="s">
        <v>590</v>
      </c>
      <c r="G1" s="7" t="s">
        <v>591</v>
      </c>
      <c r="H1" s="7" t="s">
        <v>585</v>
      </c>
      <c r="I1" s="7" t="s">
        <v>592</v>
      </c>
      <c r="J1" s="7" t="s">
        <v>593</v>
      </c>
      <c r="K1" s="7" t="s">
        <v>574</v>
      </c>
      <c r="L1" s="7" t="s">
        <v>594</v>
      </c>
    </row>
    <row r="2" customFormat="false" ht="46.25" hidden="false" customHeight="false" outlineLevel="0" collapsed="false">
      <c r="A2" s="9" t="s">
        <v>595</v>
      </c>
      <c r="B2" s="10" t="s">
        <v>146</v>
      </c>
      <c r="C2" s="10" t="s">
        <v>596</v>
      </c>
      <c r="D2" s="10" t="s">
        <v>597</v>
      </c>
      <c r="E2" s="10" t="s">
        <v>598</v>
      </c>
      <c r="F2" s="10" t="s">
        <v>599</v>
      </c>
      <c r="G2" s="9" t="s">
        <v>600</v>
      </c>
      <c r="H2" s="9" t="s">
        <v>601</v>
      </c>
      <c r="I2" s="10" t="s">
        <v>602</v>
      </c>
      <c r="J2" s="9" t="s">
        <v>192</v>
      </c>
      <c r="K2" s="9" t="s">
        <v>603</v>
      </c>
      <c r="L2" s="10" t="s">
        <v>604</v>
      </c>
    </row>
    <row r="3" customFormat="false" ht="35.05" hidden="false" customHeight="false" outlineLevel="0" collapsed="false">
      <c r="A3" s="9" t="s">
        <v>605</v>
      </c>
      <c r="B3" s="10" t="s">
        <v>146</v>
      </c>
      <c r="C3" s="10" t="s">
        <v>606</v>
      </c>
      <c r="D3" s="10" t="s">
        <v>607</v>
      </c>
      <c r="E3" s="10" t="s">
        <v>608</v>
      </c>
      <c r="F3" s="10" t="s">
        <v>609</v>
      </c>
      <c r="G3" s="9" t="s">
        <v>610</v>
      </c>
      <c r="H3" s="9" t="s">
        <v>601</v>
      </c>
      <c r="I3" s="10" t="s">
        <v>602</v>
      </c>
      <c r="J3" s="9" t="s">
        <v>145</v>
      </c>
      <c r="K3" s="9" t="s">
        <v>603</v>
      </c>
      <c r="L3" s="10"/>
    </row>
    <row r="4" customFormat="false" ht="23.85" hidden="false" customHeight="false" outlineLevel="0" collapsed="false">
      <c r="A4" s="9" t="s">
        <v>611</v>
      </c>
      <c r="B4" s="10" t="s">
        <v>146</v>
      </c>
      <c r="C4" s="10" t="s">
        <v>612</v>
      </c>
      <c r="D4" s="10" t="s">
        <v>613</v>
      </c>
      <c r="E4" s="10" t="s">
        <v>614</v>
      </c>
      <c r="F4" s="10" t="s">
        <v>615</v>
      </c>
      <c r="G4" s="9" t="s">
        <v>610</v>
      </c>
      <c r="H4" s="9" t="s">
        <v>601</v>
      </c>
      <c r="I4" s="10" t="s">
        <v>602</v>
      </c>
      <c r="J4" s="9" t="s">
        <v>155</v>
      </c>
      <c r="K4" s="9" t="s">
        <v>603</v>
      </c>
      <c r="L4" s="10"/>
    </row>
    <row r="5" customFormat="false" ht="23.85" hidden="false" customHeight="false" outlineLevel="0" collapsed="false">
      <c r="A5" s="9" t="s">
        <v>616</v>
      </c>
      <c r="B5" s="10" t="s">
        <v>146</v>
      </c>
      <c r="C5" s="10" t="s">
        <v>617</v>
      </c>
      <c r="D5" s="10" t="s">
        <v>618</v>
      </c>
      <c r="E5" s="10" t="s">
        <v>619</v>
      </c>
      <c r="F5" s="10" t="s">
        <v>620</v>
      </c>
      <c r="G5" s="9" t="s">
        <v>621</v>
      </c>
      <c r="H5" s="9" t="s">
        <v>601</v>
      </c>
      <c r="I5" s="10" t="s">
        <v>602</v>
      </c>
      <c r="J5" s="9" t="s">
        <v>155</v>
      </c>
      <c r="K5" s="9" t="s">
        <v>603</v>
      </c>
      <c r="L5" s="10"/>
    </row>
    <row r="6" customFormat="false" ht="23.85" hidden="false" customHeight="false" outlineLevel="0" collapsed="false">
      <c r="A6" s="9" t="s">
        <v>622</v>
      </c>
      <c r="B6" s="10" t="s">
        <v>146</v>
      </c>
      <c r="C6" s="10" t="s">
        <v>623</v>
      </c>
      <c r="D6" s="10" t="s">
        <v>624</v>
      </c>
      <c r="E6" s="10" t="s">
        <v>625</v>
      </c>
      <c r="F6" s="10" t="s">
        <v>626</v>
      </c>
      <c r="G6" s="9" t="s">
        <v>621</v>
      </c>
      <c r="H6" s="9" t="s">
        <v>601</v>
      </c>
      <c r="I6" s="10" t="s">
        <v>602</v>
      </c>
      <c r="J6" s="9" t="s">
        <v>155</v>
      </c>
      <c r="K6" s="9" t="s">
        <v>603</v>
      </c>
      <c r="L6" s="10"/>
    </row>
    <row r="7" customFormat="false" ht="35.05" hidden="false" customHeight="false" outlineLevel="0" collapsed="false">
      <c r="A7" s="9" t="s">
        <v>627</v>
      </c>
      <c r="B7" s="10" t="s">
        <v>485</v>
      </c>
      <c r="C7" s="10" t="s">
        <v>628</v>
      </c>
      <c r="D7" s="10" t="s">
        <v>629</v>
      </c>
      <c r="E7" s="10" t="s">
        <v>630</v>
      </c>
      <c r="F7" s="10" t="s">
        <v>631</v>
      </c>
      <c r="G7" s="9" t="s">
        <v>610</v>
      </c>
      <c r="H7" s="9" t="s">
        <v>632</v>
      </c>
      <c r="I7" s="10" t="s">
        <v>633</v>
      </c>
      <c r="J7" s="9" t="s">
        <v>491</v>
      </c>
      <c r="K7" s="9" t="s">
        <v>603</v>
      </c>
      <c r="L7" s="10" t="s">
        <v>634</v>
      </c>
    </row>
    <row r="8" customFormat="false" ht="35.05" hidden="false" customHeight="false" outlineLevel="0" collapsed="false">
      <c r="A8" s="9" t="s">
        <v>635</v>
      </c>
      <c r="B8" s="10" t="s">
        <v>485</v>
      </c>
      <c r="C8" s="10" t="s">
        <v>636</v>
      </c>
      <c r="D8" s="10" t="s">
        <v>637</v>
      </c>
      <c r="E8" s="10" t="s">
        <v>638</v>
      </c>
      <c r="F8" s="10" t="s">
        <v>639</v>
      </c>
      <c r="G8" s="9" t="s">
        <v>621</v>
      </c>
      <c r="H8" s="9" t="s">
        <v>601</v>
      </c>
      <c r="I8" s="10" t="s">
        <v>640</v>
      </c>
      <c r="J8" s="9" t="s">
        <v>484</v>
      </c>
      <c r="K8" s="9" t="s">
        <v>603</v>
      </c>
      <c r="L8" s="10"/>
    </row>
    <row r="9" customFormat="false" ht="35.05" hidden="false" customHeight="false" outlineLevel="0" collapsed="false">
      <c r="A9" s="9" t="s">
        <v>641</v>
      </c>
      <c r="B9" s="10" t="s">
        <v>485</v>
      </c>
      <c r="C9" s="10" t="s">
        <v>642</v>
      </c>
      <c r="D9" s="10" t="s">
        <v>643</v>
      </c>
      <c r="E9" s="10" t="s">
        <v>644</v>
      </c>
      <c r="F9" s="10" t="s">
        <v>645</v>
      </c>
      <c r="G9" s="9" t="s">
        <v>610</v>
      </c>
      <c r="H9" s="9" t="s">
        <v>601</v>
      </c>
      <c r="I9" s="10" t="s">
        <v>640</v>
      </c>
      <c r="J9" s="9" t="s">
        <v>231</v>
      </c>
      <c r="K9" s="9" t="s">
        <v>603</v>
      </c>
      <c r="L9" s="10" t="s">
        <v>646</v>
      </c>
    </row>
    <row r="10" customFormat="false" ht="46.25" hidden="false" customHeight="false" outlineLevel="0" collapsed="false">
      <c r="A10" s="9" t="s">
        <v>647</v>
      </c>
      <c r="B10" s="10" t="s">
        <v>485</v>
      </c>
      <c r="C10" s="10" t="s">
        <v>648</v>
      </c>
      <c r="D10" s="10" t="s">
        <v>649</v>
      </c>
      <c r="E10" s="10" t="s">
        <v>650</v>
      </c>
      <c r="F10" s="10" t="s">
        <v>651</v>
      </c>
      <c r="G10" s="9" t="s">
        <v>600</v>
      </c>
      <c r="H10" s="9" t="s">
        <v>632</v>
      </c>
      <c r="I10" s="10" t="s">
        <v>652</v>
      </c>
      <c r="J10" s="9" t="s">
        <v>536</v>
      </c>
      <c r="K10" s="9" t="s">
        <v>603</v>
      </c>
      <c r="L10" s="10" t="s">
        <v>653</v>
      </c>
    </row>
    <row r="11" customFormat="false" ht="23.85" hidden="false" customHeight="false" outlineLevel="0" collapsed="false">
      <c r="A11" s="9" t="s">
        <v>654</v>
      </c>
      <c r="B11" s="10" t="s">
        <v>485</v>
      </c>
      <c r="C11" s="10" t="s">
        <v>655</v>
      </c>
      <c r="D11" s="10" t="s">
        <v>656</v>
      </c>
      <c r="E11" s="10" t="s">
        <v>657</v>
      </c>
      <c r="F11" s="10" t="s">
        <v>658</v>
      </c>
      <c r="G11" s="9" t="s">
        <v>621</v>
      </c>
      <c r="H11" s="9" t="s">
        <v>632</v>
      </c>
      <c r="I11" s="10" t="s">
        <v>652</v>
      </c>
      <c r="J11" s="9" t="s">
        <v>530</v>
      </c>
      <c r="K11" s="9" t="s">
        <v>603</v>
      </c>
      <c r="L11" s="10"/>
    </row>
    <row r="12" customFormat="false" ht="35.05" hidden="false" customHeight="false" outlineLevel="0" collapsed="false">
      <c r="A12" s="9" t="s">
        <v>659</v>
      </c>
      <c r="B12" s="10" t="s">
        <v>485</v>
      </c>
      <c r="C12" s="10" t="s">
        <v>660</v>
      </c>
      <c r="D12" s="10" t="s">
        <v>661</v>
      </c>
      <c r="E12" s="10" t="s">
        <v>662</v>
      </c>
      <c r="F12" s="10" t="s">
        <v>663</v>
      </c>
      <c r="G12" s="9" t="s">
        <v>664</v>
      </c>
      <c r="H12" s="9" t="s">
        <v>632</v>
      </c>
      <c r="I12" s="10" t="s">
        <v>652</v>
      </c>
      <c r="J12" s="9" t="s">
        <v>530</v>
      </c>
      <c r="K12" s="9" t="s">
        <v>603</v>
      </c>
      <c r="L12" s="10"/>
    </row>
    <row r="13" customFormat="false" ht="23.85" hidden="false" customHeight="false" outlineLevel="0" collapsed="false">
      <c r="A13" s="9" t="s">
        <v>665</v>
      </c>
      <c r="B13" s="10" t="s">
        <v>485</v>
      </c>
      <c r="C13" s="10" t="s">
        <v>666</v>
      </c>
      <c r="D13" s="10" t="s">
        <v>667</v>
      </c>
      <c r="E13" s="10" t="s">
        <v>668</v>
      </c>
      <c r="F13" s="10" t="s">
        <v>669</v>
      </c>
      <c r="G13" s="9" t="s">
        <v>664</v>
      </c>
      <c r="H13" s="9" t="s">
        <v>632</v>
      </c>
      <c r="I13" s="10" t="s">
        <v>652</v>
      </c>
      <c r="J13" s="9" t="s">
        <v>503</v>
      </c>
      <c r="K13" s="9" t="s">
        <v>603</v>
      </c>
      <c r="L13" s="10"/>
    </row>
  </sheetData>
  <autoFilter ref="A1:L63"/>
  <conditionalFormatting sqref="G2:G63">
    <cfRule type="cellIs" priority="2" operator="equal" aboveAverage="0" equalAverage="0" bottom="0" percent="0" rank="0" text="" dxfId="19">
      <formula>"Critical"</formula>
    </cfRule>
    <cfRule type="cellIs" priority="3" operator="equal" aboveAverage="0" equalAverage="0" bottom="0" percent="0" rank="0" text="" dxfId="8">
      <formula>"Major"</formula>
    </cfRule>
    <cfRule type="cellIs" priority="4" operator="equal" aboveAverage="0" equalAverage="0" bottom="0" percent="0" rank="0" text="" dxfId="9">
      <formula>"Minor"</formula>
    </cfRule>
    <cfRule type="cellIs" priority="5" operator="equal" aboveAverage="0" equalAverage="0" bottom="0" percent="0" rank="0" text="" dxfId="15">
      <formula>"Trivial"</formula>
    </cfRule>
  </conditionalFormatting>
  <conditionalFormatting sqref="H2:H63">
    <cfRule type="cellIs" priority="6" operator="equal" aboveAverage="0" equalAverage="0" bottom="0" percent="0" rank="0" text="" dxfId="11">
      <formula>"Закрыт"</formula>
    </cfRule>
    <cfRule type="cellIs" priority="7" operator="equal" aboveAverage="0" equalAverage="0" bottom="0" percent="0" rank="0" text="" dxfId="8">
      <formula>"Переоткрыт"</formula>
    </cfRule>
  </conditionalFormatting>
  <dataValidations count="2">
    <dataValidation allowBlank="true" errorStyle="stop" operator="between" showDropDown="false" showErrorMessage="false" showInputMessage="false" sqref="G2:G63" type="list">
      <formula1>"Critical,Major,Minor,Trivial"</formula1>
      <formula2>0</formula2>
    </dataValidation>
    <dataValidation allowBlank="true" errorStyle="stop" operator="between" showDropDown="false" showErrorMessage="false" showInputMessage="false" sqref="H2:H63" type="list">
      <formula1>"Новый,Перепроверить,Проверить на телефоне,Передан,Исправлен,Закрыт,Переоткрыт,Не баг"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7" t="s">
        <v>131</v>
      </c>
      <c r="B1" s="7" t="s">
        <v>670</v>
      </c>
      <c r="C1" s="7" t="s">
        <v>671</v>
      </c>
      <c r="D1" s="7" t="s">
        <v>672</v>
      </c>
      <c r="E1" s="7" t="s">
        <v>673</v>
      </c>
    </row>
    <row r="2" customFormat="false" ht="23.85" hidden="false" customHeight="false" outlineLevel="0" collapsed="false">
      <c r="A2" s="9" t="s">
        <v>674</v>
      </c>
      <c r="B2" s="10" t="s">
        <v>675</v>
      </c>
      <c r="C2" s="10" t="s">
        <v>676</v>
      </c>
      <c r="D2" s="18"/>
      <c r="E2" s="18"/>
    </row>
    <row r="3" customFormat="false" ht="23.85" hidden="false" customHeight="false" outlineLevel="0" collapsed="false">
      <c r="A3" s="9" t="s">
        <v>677</v>
      </c>
      <c r="B3" s="10" t="s">
        <v>678</v>
      </c>
      <c r="C3" s="10" t="s">
        <v>679</v>
      </c>
      <c r="D3" s="18"/>
      <c r="E3" s="18"/>
    </row>
    <row r="4" customFormat="false" ht="15" hidden="false" customHeight="false" outlineLevel="0" collapsed="false">
      <c r="A4" s="9" t="s">
        <v>680</v>
      </c>
      <c r="B4" s="10" t="s">
        <v>681</v>
      </c>
      <c r="C4" s="10" t="s">
        <v>682</v>
      </c>
      <c r="D4" s="18"/>
      <c r="E4" s="18"/>
    </row>
    <row r="5" customFormat="false" ht="23.85" hidden="false" customHeight="false" outlineLevel="0" collapsed="false">
      <c r="A5" s="9" t="s">
        <v>683</v>
      </c>
      <c r="B5" s="10" t="s">
        <v>684</v>
      </c>
      <c r="C5" s="10" t="s">
        <v>685</v>
      </c>
      <c r="D5" s="18"/>
      <c r="E5" s="18"/>
    </row>
    <row r="6" customFormat="false" ht="23.85" hidden="false" customHeight="false" outlineLevel="0" collapsed="false">
      <c r="A6" s="9" t="s">
        <v>686</v>
      </c>
      <c r="B6" s="10" t="s">
        <v>687</v>
      </c>
      <c r="C6" s="10" t="s">
        <v>688</v>
      </c>
      <c r="D6" s="18"/>
      <c r="E6" s="18"/>
    </row>
    <row r="7" customFormat="false" ht="15" hidden="false" customHeight="false" outlineLevel="0" collapsed="false">
      <c r="A7" s="9" t="s">
        <v>689</v>
      </c>
      <c r="B7" s="10" t="s">
        <v>690</v>
      </c>
      <c r="C7" s="10" t="s">
        <v>302</v>
      </c>
      <c r="D7" s="18"/>
      <c r="E7" s="18"/>
    </row>
    <row r="8" customFormat="false" ht="15" hidden="false" customHeight="false" outlineLevel="0" collapsed="false">
      <c r="A8" s="9" t="s">
        <v>691</v>
      </c>
      <c r="B8" s="10" t="s">
        <v>692</v>
      </c>
      <c r="C8" s="10" t="s">
        <v>693</v>
      </c>
      <c r="D8" s="18"/>
      <c r="E8" s="18"/>
    </row>
    <row r="9" customFormat="false" ht="23.85" hidden="false" customHeight="false" outlineLevel="0" collapsed="false">
      <c r="A9" s="9" t="s">
        <v>694</v>
      </c>
      <c r="B9" s="10" t="s">
        <v>695</v>
      </c>
      <c r="C9" s="10" t="s">
        <v>199</v>
      </c>
      <c r="D9" s="18"/>
      <c r="E9" s="18"/>
    </row>
    <row r="10" customFormat="false" ht="23.85" hidden="false" customHeight="false" outlineLevel="0" collapsed="false">
      <c r="A10" s="9" t="s">
        <v>696</v>
      </c>
      <c r="B10" s="10" t="s">
        <v>697</v>
      </c>
      <c r="C10" s="10" t="s">
        <v>698</v>
      </c>
      <c r="D10" s="18"/>
      <c r="E10" s="18"/>
    </row>
    <row r="11" customFormat="false" ht="23.85" hidden="false" customHeight="false" outlineLevel="0" collapsed="false">
      <c r="A11" s="9" t="s">
        <v>699</v>
      </c>
      <c r="B11" s="10" t="s">
        <v>700</v>
      </c>
      <c r="C11" s="10" t="s">
        <v>386</v>
      </c>
      <c r="D11" s="18"/>
      <c r="E11" s="18"/>
    </row>
    <row r="12" customFormat="false" ht="15" hidden="false" customHeight="false" outlineLevel="0" collapsed="false">
      <c r="A12" s="9" t="s">
        <v>701</v>
      </c>
      <c r="B12" s="10" t="s">
        <v>702</v>
      </c>
      <c r="C12" s="10" t="s">
        <v>411</v>
      </c>
      <c r="D12" s="18"/>
      <c r="E12" s="18"/>
    </row>
    <row r="13" customFormat="false" ht="15" hidden="false" customHeight="false" outlineLevel="0" collapsed="false">
      <c r="A13" s="9" t="s">
        <v>703</v>
      </c>
      <c r="B13" s="10" t="s">
        <v>704</v>
      </c>
      <c r="C13" s="10" t="s">
        <v>339</v>
      </c>
      <c r="D13" s="18"/>
      <c r="E13" s="18"/>
    </row>
    <row r="14" customFormat="false" ht="23.85" hidden="false" customHeight="false" outlineLevel="0" collapsed="false">
      <c r="A14" s="9" t="s">
        <v>705</v>
      </c>
      <c r="B14" s="10" t="s">
        <v>706</v>
      </c>
      <c r="C14" s="10" t="s">
        <v>707</v>
      </c>
      <c r="D14" s="18"/>
      <c r="E14" s="18"/>
    </row>
    <row r="15" customFormat="false" ht="15" hidden="false" customHeight="false" outlineLevel="0" collapsed="false">
      <c r="A15" s="9" t="s">
        <v>708</v>
      </c>
      <c r="B15" s="10" t="s">
        <v>709</v>
      </c>
      <c r="C15" s="10" t="s">
        <v>426</v>
      </c>
      <c r="D15" s="18"/>
      <c r="E1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2026-09-30T03:58:39Z</dcterms:created>
  <dc:creator>openpyxl</dc:creator>
  <dc:description/>
  <dc:language>en-US</dc:language>
  <cp:lastModifiedBy/>
  <dcterms:modified xsi:type="dcterms:W3CDTF">2026-09-30T03:58:39Z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