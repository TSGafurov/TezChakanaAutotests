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пользоваться" sheetId="1" state="visible" r:id="rId1"/>
    <sheet name="Тест-план" sheetId="2" state="visible" r:id="rId2"/>
    <sheet name="Тест-кейсы" sheetId="3" state="visible" r:id="rId3"/>
    <sheet name="Прогон" sheetId="4" state="visible" r:id="rId4"/>
    <sheet name="Баги" sheetId="5" state="visible" r:id="rId5"/>
    <sheet name="Вопросы" sheetId="6" state="visible" r:id="rId6"/>
  </sheets>
  <definedNames>
    <definedName name="_xlnm._FilterDatabase" localSheetId="2" hidden="1">'Тест-кейсы'!$A$1:$L$139</definedName>
    <definedName name="_xlnm._FilterDatabase" localSheetId="3" hidden="1">'Прогон'!$A$11:$I$149</definedName>
    <definedName name="_xlnm._FilterDatabase" localSheetId="4" hidden="1">'Баги'!$A$1:$L$68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3A3A3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2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top" wrapText="1"/>
    </xf>
    <xf numFmtId="0" fontId="6" fillId="3" borderId="0" pivotButton="0" quotePrefix="0" xfId="0"/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4" fillId="0" borderId="1" pivotButton="0" quotePrefix="0" xfId="0"/>
    <xf numFmtId="0" fontId="3" fillId="0" borderId="1" pivotButton="0" quotePrefix="0" xfId="0"/>
    <xf numFmtId="0" fontId="3" fillId="0" borderId="0" pivotButton="0" quotePrefix="0" xfId="0"/>
    <xf numFmtId="0" fontId="4" fillId="4" borderId="1" pivotButton="0" quotePrefix="0" xfId="0"/>
    <xf numFmtId="0" fontId="4" fillId="0" borderId="0" pivotButton="0" quotePrefix="0" xfId="0"/>
    <xf numFmtId="9" fontId="3" fillId="0" borderId="1" pivotButton="0" quotePrefix="0" xfId="0"/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dxfs count="8">
    <dxf>
      <fill>
        <patternFill patternType="solid">
          <fgColor rgb="00FFC7CE"/>
        </patternFill>
      </fill>
    </dxf>
    <dxf>
      <fill>
        <patternFill patternType="solid">
          <fgColor rgb="00FFE0B2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E4DFEC"/>
        </patternFill>
      </fill>
    </dxf>
    <dxf>
      <font>
        <name val="Arial"/>
        <b val="1"/>
        <color rgb="00C00000"/>
      </font>
    </dxf>
    <dxf>
      <fill>
        <patternFill patternType="solid">
          <fgColor rgb="00E7E6E6"/>
        </patternFill>
      </fill>
    </dxf>
    <dxf>
      <fill>
        <patternFill patternType="solid">
          <fgColor rgb="00FF9C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zoomScale="110"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Tez Chakana — ручное тестирование: как пользоваться этим файлом</t>
        </is>
      </c>
    </row>
    <row r="3">
      <c r="A3" s="2" t="inlineStr">
        <is>
          <t>Листы</t>
        </is>
      </c>
      <c r="B3" s="3" t="n"/>
    </row>
    <row r="4">
      <c r="A4" s="4" t="inlineStr">
        <is>
          <t>Тест-план</t>
        </is>
      </c>
      <c r="B4" s="5" t="inlineStr">
        <is>
          <t>Что тестируем, какие бывают прогоны (Smoke / Sanity / Регресс / Ретест / Исследовательское), когда какой запускать, критерии «сборка годна / не годна», правила безопасности для реального аккаунта.</t>
        </is>
      </c>
    </row>
    <row r="5">
      <c r="A5" s="4" t="inlineStr">
        <is>
          <t>Тест-кейсы</t>
        </is>
      </c>
      <c r="B5" s="5" t="inlineStr">
        <is>
          <t>Все кейсы. Фильтруйте по колонкам «Набор», «Модуль», «Приоритет», «Риск». Это «база» — правьте её, когда меняется продукт.</t>
        </is>
      </c>
    </row>
    <row r="6">
      <c r="A6" s="4" t="inlineStr">
        <is>
          <t>Прогон</t>
        </is>
      </c>
      <c r="B6" s="5" t="inlineStr">
        <is>
          <t>Шаблон одного прогона. На каждую сборку: ПКМ по вкладке → «Переместить или скопировать» → «Создать копию», переименовать (например «Прогон 1.1.9 Smoke»). Названия кейсов подтягиваются из листа «Тест-кейсы» по ID.</t>
        </is>
      </c>
    </row>
    <row r="7">
      <c r="A7" s="4" t="inlineStr">
        <is>
          <t>Баги</t>
        </is>
      </c>
      <c r="B7" s="5" t="inlineStr">
        <is>
          <t>Найденные баги с шагами. Статус меняйте по мере исправлений; исправленный баг обязательно перепроверьте (ретест).</t>
        </is>
      </c>
    </row>
    <row r="8">
      <c r="A8" s="4" t="inlineStr">
        <is>
          <t>Вопросы</t>
        </is>
      </c>
      <c r="B8" s="5" t="inlineStr">
        <is>
          <t>Открытые вопросы к продукту/разработке. Ответ может превратить «вопрос» в баг или в новый кейс.</t>
        </is>
      </c>
    </row>
    <row r="9">
      <c r="A9" s="2" t="inlineStr">
        <is>
          <t>Наборы (колонка «Набор»)</t>
        </is>
      </c>
      <c r="B9" s="3" t="n"/>
    </row>
    <row r="10">
      <c r="A10" s="4" t="inlineStr">
        <is>
          <t>Smoke</t>
        </is>
      </c>
      <c r="B10" s="5" t="inlineStr">
        <is>
          <t>Минимальная проверка, что сборка вообще работает и главный сценарий «найти → положить в корзину → заказать» проходит. ~30–40 мин. Фильтр: Набор = Smoke.</t>
        </is>
      </c>
    </row>
    <row r="11">
      <c r="A11" s="4" t="inlineStr">
        <is>
          <t>Sanity</t>
        </is>
      </c>
      <c r="B11" s="5" t="inlineStr">
        <is>
          <t>Проверка затронутых изменениями модулей. Фильтр: Модуль = &lt;изменённый модуль&gt;, Набор = Smoke или Sanity. Плюс ретест исправленных багов.</t>
        </is>
      </c>
    </row>
    <row r="12">
      <c r="A12" s="4" t="inlineStr">
        <is>
          <t>Regression</t>
        </is>
      </c>
      <c r="B12" s="5" t="inlineStr">
        <is>
          <t>Полный прогон: все кейсы (Smoke + Sanity + Regression). Можно разбить на 2–3 дня по модулям.</t>
        </is>
      </c>
    </row>
    <row r="13">
      <c r="A13" s="4" t="inlineStr">
        <is>
          <t>Вложенность</t>
        </is>
      </c>
      <c r="B13" s="5" t="inlineStr">
        <is>
          <t>Smoke ⊂ Sanity ⊂ Regression: в колонке указан самый маленький набор, куда кейс входит. Регресс = все строки.</t>
        </is>
      </c>
    </row>
    <row r="14">
      <c r="A14" s="2" t="inlineStr">
        <is>
          <t>Статусы в «Прогон»</t>
        </is>
      </c>
      <c r="B14" s="3" t="n"/>
    </row>
    <row r="15">
      <c r="A15" s="4" t="inlineStr">
        <is>
          <t>Pass</t>
        </is>
      </c>
      <c r="B15" s="5" t="inlineStr">
        <is>
          <t>Фактический результат совпал с ожидаемым.</t>
        </is>
      </c>
    </row>
    <row r="16">
      <c r="A16" s="4" t="inlineStr">
        <is>
          <t>Fail</t>
        </is>
      </c>
      <c r="B16" s="5" t="inlineStr">
        <is>
          <t>Не совпал → завести/найти баг в листе «Баги» и вписать его ID в колонку «Баг».</t>
        </is>
      </c>
    </row>
    <row r="17">
      <c r="A17" s="4" t="inlineStr">
        <is>
          <t>Blocked</t>
        </is>
      </c>
      <c r="B17" s="5" t="inlineStr">
        <is>
          <t>Нельзя выполнить из-за другого бага или окружения (нет сети, нет карты и т.п.) — причину в «Комментарий».</t>
        </is>
      </c>
    </row>
    <row r="18">
      <c r="A18" s="4" t="inlineStr">
        <is>
          <t>Skip</t>
        </is>
      </c>
      <c r="B18" s="5" t="inlineStr">
        <is>
          <t>Сознательно пропущен (не входит в текущий прогон, нет данных).</t>
        </is>
      </c>
    </row>
    <row r="19">
      <c r="A19" s="4" t="inlineStr">
        <is>
          <t>Пусто</t>
        </is>
      </c>
      <c r="B19" s="5" t="inlineStr">
        <is>
          <t>Ещё не выполнен.</t>
        </is>
      </c>
    </row>
    <row r="20">
      <c r="A20" s="4" t="inlineStr">
        <is>
          <t>Пример заполнения строки</t>
        </is>
      </c>
      <c r="B20" s="5" t="inlineStr">
        <is>
          <t>ORDH-03 | … | Статус: Fail | Баг: BUG-001 | Комментарий: «TEZ00812: 3 990 + 15 000, Jami 3 990»</t>
        </is>
      </c>
    </row>
    <row r="21">
      <c r="A21" s="4" t="inlineStr">
        <is>
          <t>Что заполнять</t>
        </is>
      </c>
      <c r="B21" s="5" t="inlineStr">
        <is>
          <t>Жёлтые ячейки в листе «Прогон» (сборка, дата, устройство, вид прогона) и колонки «Статус», «Баг», «Комментарий». Остальное считается формулами.</t>
        </is>
      </c>
    </row>
    <row r="22">
      <c r="A22" s="2" t="inlineStr">
        <is>
          <t>Риск (колонка)</t>
        </is>
      </c>
      <c r="B22" s="3" t="n"/>
    </row>
    <row r="23">
      <c r="A23" s="4" t="inlineStr">
        <is>
          <t>Безопасно</t>
        </is>
      </c>
      <c r="B23" s="5" t="inlineStr">
        <is>
          <t>Только просмотр, ничего не меняет.</t>
        </is>
      </c>
    </row>
    <row r="24">
      <c r="A24" s="4" t="inlineStr">
        <is>
          <t>Меняет данные</t>
        </is>
      </c>
      <c r="B24" s="5" t="inlineStr">
        <is>
          <t>Меняет корзину/адрес/язык/избранное и т.п. — после проверки вернуть как было.</t>
        </is>
      </c>
    </row>
    <row r="25">
      <c r="A25" s="4" t="inlineStr">
        <is>
          <t>Реальный заказ</t>
        </is>
      </c>
      <c r="B25" s="5" t="inlineStr">
        <is>
          <t>Создаёт настоящий заказ и может списать деньги. Сразу после проверки — отменить заказ в приложении.</t>
        </is>
      </c>
    </row>
    <row r="26">
      <c r="A26" s="4" t="inlineStr">
        <is>
          <t>Необратимо</t>
        </is>
      </c>
      <c r="B26" s="5" t="inlineStr">
        <is>
          <t>Удаление аккаунта и т.п. — только на отдельном тестовом аккаунте.</t>
        </is>
      </c>
    </row>
    <row r="27">
      <c r="A27" s="4" t="inlineStr">
        <is>
          <t>Колонка «Автотест»</t>
        </is>
      </c>
      <c r="B27" s="5" t="inlineStr">
        <is>
          <t>ID из docs/exploration-notes.md, если сценарий покрыт автотестом. После редизайна v1.1.8 автотесты требуют починки — пока на них не полагаться.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zoomScale="110" workbookViewId="0">
      <selection activeCell="A1" sqref="A1"/>
    </sheetView>
  </sheetViews>
  <sheetFormatPr baseColWidth="8" defaultRowHeight="15"/>
  <cols>
    <col width="30" customWidth="1" min="1" max="1"/>
    <col width="115" customWidth="1" min="2" max="2"/>
  </cols>
  <sheetData>
    <row r="1">
      <c r="A1" s="1" t="inlineStr">
        <is>
          <t>Тест-план: Tez Chakana (uz.agrobank.chakanaexpress), Android</t>
        </is>
      </c>
    </row>
    <row r="2">
      <c r="A2" s="6" t="inlineStr">
        <is>
          <t>Составлен 2026-09-29 по живому исследованию v1.1.8 (43) и заметкам docs/exploration-notes.md</t>
        </is>
      </c>
    </row>
    <row r="4">
      <c r="A4" s="2" t="inlineStr">
        <is>
          <t>1. Объект и цель</t>
        </is>
      </c>
      <c r="B4" s="3" t="n"/>
    </row>
    <row r="5">
      <c r="A5" s="4" t="inlineStr">
        <is>
          <t>Продукт</t>
        </is>
      </c>
      <c r="B5" s="5" t="inlineStr">
        <is>
          <t>Мобильное приложение доставки из магазинов (продукты, цветы, кафе, кондитерские). Flutter, Android. Язык интерфейса по умолчанию — узбекский (латиница), есть Ўзбекча и Русский.</t>
        </is>
      </c>
    </row>
    <row r="6">
      <c r="A6" s="4" t="inlineStr">
        <is>
          <t>Цель</t>
        </is>
      </c>
      <c r="B6" s="5" t="inlineStr">
        <is>
          <t>Для каждой новой сборки быстро решить «годна / не годна», систематически находить регрессии в основных сценариях и вести баги в одном месте.</t>
        </is>
      </c>
    </row>
    <row r="7">
      <c r="A7" s="4" t="inlineStr">
        <is>
          <t>Модули</t>
        </is>
      </c>
      <c r="B7" s="5" t="inlineStr">
        <is>
          <t>Запуск, Вход, Home, Магазин, Поиск, Товар, Избранное, Корзина, Оформление, Заказ (реальные деньги), Заказы, Уведомления, Профиль, Мои данные, Адреса, Карты, Настройки, Общее (сеть, форматы, стабильность).</t>
        </is>
      </c>
    </row>
    <row r="8">
      <c r="A8" s="4" t="inlineStr">
        <is>
          <t>Вне области</t>
        </is>
      </c>
      <c r="B8" s="5" t="inlineStr">
        <is>
          <t>Бэкенд/админка магазина и курьера, нагрузочное тестирование, безопасность, iOS (если появится — отдельный прогон по тем же кейсам).</t>
        </is>
      </c>
    </row>
    <row r="9">
      <c r="A9" s="2" t="inlineStr">
        <is>
          <t>2. Окружение</t>
        </is>
      </c>
      <c r="B9" s="3" t="n"/>
    </row>
    <row r="10">
      <c r="A10" s="4" t="inlineStr">
        <is>
          <t>Устройства</t>
        </is>
      </c>
      <c r="B10" s="5" t="inlineStr">
        <is>
          <t>Эмулятор Android 17 (1080×2400, sdk_gphone16k_arm64) — основной. Реальный Redmi M2006C3LG, Android 10, 720×1600 — Smoke на каждой сборке и всё, что связано с картой, push-уведомлениями, камерой, SMS.</t>
        </is>
      </c>
    </row>
    <row r="11">
      <c r="A11" s="4" t="inlineStr">
        <is>
          <t>Бэкенд</t>
        </is>
      </c>
      <c r="B11" s="5" t="inlineStr">
        <is>
          <t>Боевой. Аккаунт — реальный личный аккаунт владельца: реальные заказы, адреса, карты. См. раздел 6.</t>
        </is>
      </c>
    </row>
    <row r="12">
      <c r="A12" s="4" t="inlineStr">
        <is>
          <t>Вход</t>
        </is>
      </c>
      <c r="B12" s="5" t="inlineStr">
        <is>
          <t>Статического OTP больше нет — код из SMS вводится вручную. Чтобы не входить лишний раз, тесты с выходом (AUTH-08, ONB-05/06) выполняйте в конце прогона.</t>
        </is>
      </c>
    </row>
    <row r="13">
      <c r="A13" s="4" t="inlineStr">
        <is>
          <t>Эмулятор</t>
        </is>
      </c>
      <c r="B13" s="5" t="inlineStr">
        <is>
          <t>При нехватке памяти на Mac эмулятор даёт ложные зависания (ANR). Перед регрессом закройте тяжёлые приложения; при странных зависаниях — перезапуск эмулятора и повтор на телефоне.</t>
        </is>
      </c>
    </row>
    <row r="14">
      <c r="A14" s="2" t="inlineStr">
        <is>
          <t>3. Виды прогонов и когда их запускать</t>
        </is>
      </c>
      <c r="B14" s="3" t="n"/>
    </row>
    <row r="15">
      <c r="A15" s="4" t="inlineStr">
        <is>
          <t>Smoke (≈30–40 мин)</t>
        </is>
      </c>
      <c r="B15" s="5" t="inlineStr">
        <is>
          <t>КАЖДАЯ новая сборка, до всего остального. 15 кейсов: установка поверх, запуск, Home, магазин, корзина, оформление, заказ наличными + отмена, заказы, профиль, версия. Любой Fail в Smoke = сборка «не годна», дальше не тестировать, сообщить разработчикам.</t>
        </is>
      </c>
    </row>
    <row r="16">
      <c r="A16" s="4" t="inlineStr">
        <is>
          <t>Ретест</t>
        </is>
      </c>
      <c r="B16" s="5" t="inlineStr">
        <is>
          <t>Каждая сборка, где заявлены исправления: пройти шаги каждого бага со статусом «Исправлен» из листа «Баги». Прошёл → «Закрыт», нет → «Переоткрыт».</t>
        </is>
      </c>
    </row>
    <row r="17">
      <c r="A17" s="4" t="inlineStr">
        <is>
          <t>Sanity (≈30–60 мин)</t>
        </is>
      </c>
      <c r="B17" s="5" t="inlineStr">
        <is>
          <t>Хотфикс или небольшое изменение: Smoke + кейсы Sanity в изменённых модулях (фильтр Модуль + Набор ∈ {Smoke, Sanity}) + ретест. Если в изменениях написано «оформление» — прогнать Sanity модулей Корзина, Оформление, Заказ, Заказы.</t>
        </is>
      </c>
    </row>
    <row r="18">
      <c r="A18" s="4" t="inlineStr">
        <is>
          <t>Регресс (≈5–6 ч)</t>
        </is>
      </c>
      <c r="B18" s="5" t="inlineStr">
        <is>
          <t>Перед публикацией в сторе, после крупного обновления или редизайна, и не реже раза в 2–3 недели. Все кейсы. Можно разбить: день 1 — Запуск…Корзина, день 2 — Оформление…Заказы, день 3 — остальное.</t>
        </is>
      </c>
    </row>
    <row r="19">
      <c r="A19" s="4" t="inlineStr">
        <is>
          <t>Исследовательское (30–45 мин)</t>
        </is>
      </c>
      <c r="B19" s="5" t="inlineStr">
        <is>
          <t>На каждую новую фичу или сильно изменённый экран: сессия по заданной теме («что может сломаться в новом чекауте?»), заметки → баги и новые кейсы в лист «Тест-кейсы».</t>
        </is>
      </c>
    </row>
    <row r="20">
      <c r="A20" s="2" t="inlineStr">
        <is>
          <t>4. Порядок работы на каждую сборку</t>
        </is>
      </c>
      <c r="B20" s="3" t="n"/>
    </row>
    <row r="21">
      <c r="A21" s="4" t="inlineStr">
        <is>
          <t>Шаг 1</t>
        </is>
      </c>
      <c r="B21" s="5" t="inlineStr">
        <is>
          <t>Получить сборку и список изменений (changelog). Если changelog нет — попросить, без него Sanity превращается в угадывание.</t>
        </is>
      </c>
    </row>
    <row r="22">
      <c r="A22" s="4" t="inlineStr">
        <is>
          <t>Шаг 2</t>
        </is>
      </c>
      <c r="B22" s="5" t="inlineStr">
        <is>
          <t>Скопировать лист «Прогон», заполнить сборку, дату, устройство, вид прогона.</t>
        </is>
      </c>
    </row>
    <row r="23">
      <c r="A23" s="4" t="inlineStr">
        <is>
          <t>Шаг 3</t>
        </is>
      </c>
      <c r="B23" s="5" t="inlineStr">
        <is>
          <t>Установить поверх старой версии (ONB-04), проверить версию в настройках (SET-01).</t>
        </is>
      </c>
    </row>
    <row r="24">
      <c r="A24" s="4" t="inlineStr">
        <is>
          <t>Шаг 4</t>
        </is>
      </c>
      <c r="B24" s="5" t="inlineStr">
        <is>
          <t>Smoke. Fail → стоп, отчёт разработчикам.</t>
        </is>
      </c>
    </row>
    <row r="25">
      <c r="A25" s="4" t="inlineStr">
        <is>
          <t>Шаг 5</t>
        </is>
      </c>
      <c r="B25" s="5" t="inlineStr">
        <is>
          <t>Ретест исправленных багов.</t>
        </is>
      </c>
    </row>
    <row r="26">
      <c r="A26" s="4" t="inlineStr">
        <is>
          <t>Шаг 6</t>
        </is>
      </c>
      <c r="B26" s="5" t="inlineStr">
        <is>
          <t>Sanity изменённых модулей (или Регресс, если релиз в стор / крупное изменение).</t>
        </is>
      </c>
    </row>
    <row r="27">
      <c r="A27" s="4" t="inlineStr">
        <is>
          <t>Шаг 7</t>
        </is>
      </c>
      <c r="B27" s="5" t="inlineStr">
        <is>
          <t>Новые баги → лист «Баги»; новые сценарии → лист «Тест-кейсы».</t>
        </is>
      </c>
    </row>
    <row r="28">
      <c r="A28" s="4" t="inlineStr">
        <is>
          <t>Шаг 8</t>
        </is>
      </c>
      <c r="B28" s="5" t="inlineStr">
        <is>
          <t>Отчёт: цифры из шапки листа «Прогон» + список новых/переоткрытых багов + решение «годна / не годна».</t>
        </is>
      </c>
    </row>
    <row r="29">
      <c r="A29" s="2" t="inlineStr">
        <is>
          <t>5. Критерии</t>
        </is>
      </c>
      <c r="B29" s="3" t="n"/>
    </row>
    <row r="30">
      <c r="A30" s="4" t="inlineStr">
        <is>
          <t>Вход в тестирование</t>
        </is>
      </c>
      <c r="B30" s="5" t="inlineStr">
        <is>
          <t>Сборка устанавливается и запускается; известна версия; есть changelog; есть доступ к аккаунту (SMS-код).</t>
        </is>
      </c>
    </row>
    <row r="31">
      <c r="A31" s="4" t="inlineStr">
        <is>
          <t>Сборка годна к релизу</t>
        </is>
      </c>
      <c r="B31" s="5" t="inlineStr">
        <is>
          <t>Smoke 100% Pass; нет открытых Critical и Major багов в модулях Корзина / Оформление / Заказ / Заказы / Вход; все P0-кейсы Pass; ретест всех заявленных исправлений пройден.</t>
        </is>
      </c>
    </row>
    <row r="32">
      <c r="A32" s="4" t="inlineStr">
        <is>
          <t>Сборка не годна</t>
        </is>
      </c>
      <c r="B32" s="5" t="inlineStr">
        <is>
          <t>Любой Fail в Smoke; вылет или зависание на основном сценарии; неправильные суммы или списания; невозможно войти.</t>
        </is>
      </c>
    </row>
    <row r="33">
      <c r="A33" s="4" t="inlineStr">
        <is>
          <t>Приоритет кейса</t>
        </is>
      </c>
      <c r="B33" s="5" t="inlineStr">
        <is>
          <t>P0 — без этого нельзя заказать или теряются деньги. P1 — важная функция, есть обходной путь. P2 — второстепенное, внешний вид, редкие случаи.</t>
        </is>
      </c>
    </row>
    <row r="34">
      <c r="A34" s="4" t="inlineStr">
        <is>
          <t>Серьёзность бага</t>
        </is>
      </c>
      <c r="B34" s="5" t="inlineStr">
        <is>
          <t>Critical — деньги/суммы, вылет, нельзя оформить заказ или войти. Major — функция не работает или некорректные данные, есть обход. Minor — неудобство, неверный текст, мелкая логика. Trivial — внешний вид, форматирование.</t>
        </is>
      </c>
    </row>
    <row r="35">
      <c r="A35" s="2" t="inlineStr">
        <is>
          <t>6. Безопасность реального аккаунта</t>
        </is>
      </c>
      <c r="B35" s="3" t="n"/>
    </row>
    <row r="36">
      <c r="A36" s="4" t="inlineStr">
        <is>
          <t>Заказы</t>
        </is>
      </c>
      <c r="B36" s="5" t="inlineStr">
        <is>
          <t>Реальные заказы разрешены владельцем при условии немедленной отмены в приложении (для карты — проверить возврат). Проверить актуальность списка магазинов, где оформлять нельзя (Palma cafe, Nur Rayhon, Mandarin, Tong Toragorgon, THE FEEL — от 2026-09-01), см. вопрос Q-05.</t>
        </is>
      </c>
    </row>
    <row r="37">
      <c r="A37" s="4" t="inlineStr">
        <is>
          <t>Данные</t>
        </is>
      </c>
      <c r="B37" s="5" t="inlineStr">
        <is>
          <t>Всё, что помечено «Меняет данные», вернуть как было: язык → O'zbekcha, адрес доставки, получатель, избранное, корзина пуста, тестовые адреса удалить.</t>
        </is>
      </c>
    </row>
    <row r="38">
      <c r="A38" s="4" t="inlineStr">
        <is>
          <t>Запрещено на основном аккаунте</t>
        </is>
      </c>
      <c r="B38" s="5" t="inlineStr">
        <is>
          <t>Удаление аккаунта (DET-08), удаление единственной рабочей карты, подтверждение отмены чужого/реального заказа без необходимости.</t>
        </is>
      </c>
    </row>
    <row r="39">
      <c r="A39" s="2" t="inlineStr">
        <is>
          <t>7. Шаблон баг-репорта</t>
        </is>
      </c>
      <c r="B39" s="3" t="n"/>
    </row>
    <row r="40">
      <c r="A40" s="4" t="inlineStr">
        <is>
          <t>Заголовок</t>
        </is>
      </c>
      <c r="B40" s="5" t="inlineStr">
        <is>
          <t>Где + что не так, одной строкой: «Детали заказа: Jami не включает доставку».</t>
        </is>
      </c>
    </row>
    <row r="41">
      <c r="A41" s="4" t="inlineStr">
        <is>
          <t>Поля</t>
        </is>
      </c>
      <c r="B41" s="5" t="inlineStr">
        <is>
          <t>Шаги (нумерованные, с данными) · Факт · Ожидание · Серьёзность · Версия/сборка · Устройство · Скриншот/видео · Связанный кейс.</t>
        </is>
      </c>
    </row>
    <row r="42">
      <c r="A42" s="4" t="inlineStr">
        <is>
          <t>Проверка перед отправкой</t>
        </is>
      </c>
      <c r="B42" s="5" t="inlineStr">
        <is>
          <t>Воспроизводится ли повторно? На телефоне тоже или только на эмуляторе? Может ли это увидеть обычный пользователь пальцем (а не только автотест)?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9"/>
  <sheetViews>
    <sheetView zoomScale="11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30" customWidth="1" min="4" max="4"/>
    <col width="48" customWidth="1" min="5" max="5"/>
    <col width="55" customWidth="1" min="6" max="6"/>
    <col width="9" customWidth="1" min="7" max="7"/>
    <col width="6" customWidth="1" min="8" max="8"/>
    <col width="11" customWidth="1" min="9" max="9"/>
    <col width="14" customWidth="1" min="10" max="10"/>
    <col width="11" customWidth="1" min="11" max="11"/>
    <col width="30" customWidth="1" min="12" max="12"/>
    <col width="16" customWidth="1" min="14" max="14"/>
    <col width="9" customWidth="1" min="15" max="15"/>
  </cols>
  <sheetData>
    <row r="1">
      <c r="A1" s="7" t="inlineStr">
        <is>
          <t>ID</t>
        </is>
      </c>
      <c r="B1" s="7" t="inlineStr">
        <is>
          <t>Модуль</t>
        </is>
      </c>
      <c r="C1" s="7" t="inlineStr">
        <is>
          <t>Название</t>
        </is>
      </c>
      <c r="D1" s="7" t="inlineStr">
        <is>
          <t>Предусловия</t>
        </is>
      </c>
      <c r="E1" s="7" t="inlineStr">
        <is>
          <t>Шаги</t>
        </is>
      </c>
      <c r="F1" s="7" t="inlineStr">
        <is>
          <t>Ожидаемый результат</t>
        </is>
      </c>
      <c r="G1" s="7" t="inlineStr">
        <is>
          <t>Приоритет</t>
        </is>
      </c>
      <c r="H1" s="7" t="inlineStr">
        <is>
          <t>Тип</t>
        </is>
      </c>
      <c r="I1" s="7" t="inlineStr">
        <is>
          <t>Набор</t>
        </is>
      </c>
      <c r="J1" s="7" t="inlineStr">
        <is>
          <t>Риск</t>
        </is>
      </c>
      <c r="K1" s="7" t="inlineStr">
        <is>
          <t>Автотест</t>
        </is>
      </c>
      <c r="L1" s="7" t="inlineStr">
        <is>
          <t>Примечание / баг</t>
        </is>
      </c>
      <c r="N1" s="8" t="inlineStr">
        <is>
          <t>Сводка</t>
        </is>
      </c>
      <c r="O1" s="8" t="inlineStr">
        <is>
          <t>Кол-во</t>
        </is>
      </c>
    </row>
    <row r="2">
      <c r="A2" s="9" t="inlineStr">
        <is>
          <t>ONB-01</t>
        </is>
      </c>
      <c r="B2" s="10" t="inlineStr">
        <is>
          <t>Запуск</t>
        </is>
      </c>
      <c r="C2" s="10" t="inlineStr">
        <is>
          <t>Холодный запуск авторизованного пользователя</t>
        </is>
      </c>
      <c r="D2" s="10" t="inlineStr">
        <is>
          <t>Пользователь авторизован; приложение закрыто (смахнуто из недавних)</t>
        </is>
      </c>
      <c r="E2" s="10" t="inlineStr">
        <is>
          <t>1. Запустить приложение.
2. Дождаться загрузки.</t>
        </is>
      </c>
      <c r="F2" s="10" t="inlineStr">
        <is>
          <t>Загрузка без вылета. Открывается Home, снизу появляется шторка «Shu manzilga buyurtma berilsinmi?» с текущим адресом и кнопками «Ha, men shu yerdaman» / «Manzilni o'zgartirish».</t>
        </is>
      </c>
      <c r="G2" s="9" t="inlineStr">
        <is>
          <t>P0</t>
        </is>
      </c>
      <c r="H2" s="9" t="inlineStr">
        <is>
          <t>+</t>
        </is>
      </c>
      <c r="I2" s="9" t="inlineStr">
        <is>
          <t>Smoke</t>
        </is>
      </c>
      <c r="J2" s="9" t="inlineStr">
        <is>
          <t>Безопасно</t>
        </is>
      </c>
      <c r="K2" s="9" t="inlineStr"/>
      <c r="L2" s="10" t="inlineStr"/>
      <c r="N2" s="11" t="inlineStr">
        <is>
          <t>Всего кейсов</t>
        </is>
      </c>
      <c r="O2" s="12">
        <f>COUNTA(A2:A139)</f>
        <v/>
      </c>
    </row>
    <row r="3">
      <c r="A3" s="9" t="inlineStr">
        <is>
          <t>ONB-02</t>
        </is>
      </c>
      <c r="B3" s="10" t="inlineStr">
        <is>
          <t>Запуск</t>
        </is>
      </c>
      <c r="C3" s="10" t="inlineStr">
        <is>
          <t>Подтверждение адреса на старте</t>
        </is>
      </c>
      <c r="D3" s="10" t="inlineStr">
        <is>
          <t>Открыта шторка из ONB-01</t>
        </is>
      </c>
      <c r="E3" s="10" t="inlineStr">
        <is>
          <t>1. Нажать «Ha, men shu yerdaman».</t>
        </is>
      </c>
      <c r="F3" s="10" t="inlineStr">
        <is>
          <t>Шторка закрывается, адрес в шапке Home не меняется, список магазинов загружен.</t>
        </is>
      </c>
      <c r="G3" s="9" t="inlineStr">
        <is>
          <t>P1</t>
        </is>
      </c>
      <c r="H3" s="9" t="inlineStr">
        <is>
          <t>+</t>
        </is>
      </c>
      <c r="I3" s="9" t="inlineStr">
        <is>
          <t>Sanity</t>
        </is>
      </c>
      <c r="J3" s="9" t="inlineStr">
        <is>
          <t>Безопасно</t>
        </is>
      </c>
      <c r="K3" s="9" t="inlineStr"/>
      <c r="L3" s="10" t="inlineStr"/>
      <c r="N3" s="11" t="inlineStr">
        <is>
          <t>Smoke</t>
        </is>
      </c>
      <c r="O3" s="12">
        <f>COUNTIF(I2:I139,"Smoke")</f>
        <v/>
      </c>
    </row>
    <row r="4">
      <c r="A4" s="9" t="inlineStr">
        <is>
          <t>ONB-03</t>
        </is>
      </c>
      <c r="B4" s="10" t="inlineStr">
        <is>
          <t>Запуск</t>
        </is>
      </c>
      <c r="C4" s="10" t="inlineStr">
        <is>
          <t>Смена адреса со стартовой шторки</t>
        </is>
      </c>
      <c r="D4" s="10" t="inlineStr">
        <is>
          <t>Открыта шторка из ONB-01; сохранено 2+ адреса</t>
        </is>
      </c>
      <c r="E4" s="10" t="inlineStr">
        <is>
          <t>1. Нажать «Manzilni o'zgartirish».
2. Выбрать другой адрес, «Tasdiqlash».
3. Вернуть исходный адрес.</t>
        </is>
      </c>
      <c r="F4" s="10" t="inlineStr">
        <is>
          <t>Адрес в шапке меняется на выбранный, список магазинов обновляется под новый адрес. После возврата состояние исходное.</t>
        </is>
      </c>
      <c r="G4" s="9" t="inlineStr">
        <is>
          <t>P1</t>
        </is>
      </c>
      <c r="H4" s="9" t="inlineStr">
        <is>
          <t>+</t>
        </is>
      </c>
      <c r="I4" s="9" t="inlineStr">
        <is>
          <t>Regression</t>
        </is>
      </c>
      <c r="J4" s="9" t="inlineStr">
        <is>
          <t>Меняет данные</t>
        </is>
      </c>
      <c r="K4" s="9" t="inlineStr">
        <is>
          <t>ONB-04</t>
        </is>
      </c>
      <c r="L4" s="10" t="inlineStr"/>
      <c r="N4" s="11" t="inlineStr">
        <is>
          <t>Sanity (вкл. Smoke)</t>
        </is>
      </c>
      <c r="O4" s="12">
        <f>COUNTIF(I2:I139,"Smoke")+COUNTIF(I2:I139,"Sanity")</f>
        <v/>
      </c>
    </row>
    <row r="5">
      <c r="A5" s="9" t="inlineStr">
        <is>
          <t>ONB-04</t>
        </is>
      </c>
      <c r="B5" s="10" t="inlineStr">
        <is>
          <t>Запуск</t>
        </is>
      </c>
      <c r="C5" s="10" t="inlineStr">
        <is>
          <t>Установка новой сборки поверх старой</t>
        </is>
      </c>
      <c r="D5" s="10" t="inlineStr">
        <is>
          <t>Установлена предыдущая версия, пользователь авторизован, в корзине 1 товар</t>
        </is>
      </c>
      <c r="E5" s="10" t="inlineStr">
        <is>
          <t>1. Установить новую сборку поверх (без удаления).
2. Запустить приложение.</t>
        </is>
      </c>
      <c r="F5" s="10" t="inlineStr">
        <is>
          <t>Вход сохранён (не просит OTP), язык и корзина сохранены, данные профиля на месте.</t>
        </is>
      </c>
      <c r="G5" s="9" t="inlineStr">
        <is>
          <t>P0</t>
        </is>
      </c>
      <c r="H5" s="9" t="inlineStr">
        <is>
          <t>+</t>
        </is>
      </c>
      <c r="I5" s="9" t="inlineStr">
        <is>
          <t>Smoke</t>
        </is>
      </c>
      <c r="J5" s="9" t="inlineStr">
        <is>
          <t>Безопасно</t>
        </is>
      </c>
      <c r="K5" s="9" t="inlineStr"/>
      <c r="L5" s="10" t="inlineStr">
        <is>
          <t>Выполнять первым на каждой новой сборке</t>
        </is>
      </c>
      <c r="N5" s="11" t="inlineStr">
        <is>
          <t>Regression (все)</t>
        </is>
      </c>
      <c r="O5" s="12">
        <f>COUNTA(A2:A139)</f>
        <v/>
      </c>
    </row>
    <row r="6">
      <c r="A6" s="9" t="inlineStr">
        <is>
          <t>ONB-05</t>
        </is>
      </c>
      <c r="B6" s="10" t="inlineStr">
        <is>
          <t>Запуск</t>
        </is>
      </c>
      <c r="C6" s="10" t="inlineStr">
        <is>
          <t>Первый запуск: геолокация разрешена</t>
        </is>
      </c>
      <c r="D6" s="10" t="inlineStr">
        <is>
          <t>Чистая установка (удалить приложение и поставить заново) или «Очистить данные». Понадобится OTP из SMS</t>
        </is>
      </c>
      <c r="E6" s="10" t="inlineStr">
        <is>
          <t>1. Запустить приложение.
2. На системном запросе геолокации нажать «Разрешить».</t>
        </is>
      </c>
      <c r="F6" s="10" t="inlineStr">
        <is>
          <t>Адрес определяется автоматически, Home показывает магазины рядом.</t>
        </is>
      </c>
      <c r="G6" s="9" t="inlineStr">
        <is>
          <t>P1</t>
        </is>
      </c>
      <c r="H6" s="9" t="inlineStr">
        <is>
          <t>+</t>
        </is>
      </c>
      <c r="I6" s="9" t="inlineStr">
        <is>
          <t>Regression</t>
        </is>
      </c>
      <c r="J6" s="9" t="inlineStr">
        <is>
          <t>Меняет данные</t>
        </is>
      </c>
      <c r="K6" s="9" t="inlineStr"/>
      <c r="L6" s="10" t="inlineStr">
        <is>
          <t>Разлогинит — после теста войти заново</t>
        </is>
      </c>
      <c r="N6" s="11" t="inlineStr">
        <is>
          <t>P0</t>
        </is>
      </c>
      <c r="O6" s="12">
        <f>COUNTIF(G2:G139,"P0")</f>
        <v/>
      </c>
    </row>
    <row r="7">
      <c r="A7" s="9" t="inlineStr">
        <is>
          <t>ONB-06</t>
        </is>
      </c>
      <c r="B7" s="10" t="inlineStr">
        <is>
          <t>Запуск</t>
        </is>
      </c>
      <c r="C7" s="10" t="inlineStr">
        <is>
          <t>Первый запуск: геолокация запрещена</t>
        </is>
      </c>
      <c r="D7" s="10" t="inlineStr">
        <is>
          <t>Как ONB-05</t>
        </is>
      </c>
      <c r="E7" s="10" t="inlineStr">
        <is>
          <t>1. Запустить приложение.
2. На запросе геолокации нажать «Запретить».</t>
        </is>
      </c>
      <c r="F7" s="10" t="inlineStr">
        <is>
          <t>Приложение не падает; предлагает выбрать/добавить адрес вручную; после выбора адреса Home работает.</t>
        </is>
      </c>
      <c r="G7" s="9" t="inlineStr">
        <is>
          <t>P1</t>
        </is>
      </c>
      <c r="H7" s="9" t="inlineStr">
        <is>
          <t>−</t>
        </is>
      </c>
      <c r="I7" s="9" t="inlineStr">
        <is>
          <t>Regression</t>
        </is>
      </c>
      <c r="J7" s="9" t="inlineStr">
        <is>
          <t>Меняет данные</t>
        </is>
      </c>
      <c r="K7" s="9" t="inlineStr"/>
      <c r="L7" s="10" t="inlineStr"/>
      <c r="N7" s="11" t="inlineStr">
        <is>
          <t>P1</t>
        </is>
      </c>
      <c r="O7" s="12">
        <f>COUNTIF(G2:G139,"P1")</f>
        <v/>
      </c>
    </row>
    <row r="8">
      <c r="A8" s="9" t="inlineStr">
        <is>
          <t>ONB-07</t>
        </is>
      </c>
      <c r="B8" s="10" t="inlineStr">
        <is>
          <t>Запуск</t>
        </is>
      </c>
      <c r="C8" s="10" t="inlineStr">
        <is>
          <t>Запрос разрешения на уведомления</t>
        </is>
      </c>
      <c r="D8" s="10" t="inlineStr">
        <is>
          <t>Разрешение на уведомления не выдано</t>
        </is>
      </c>
      <c r="E8" s="10" t="inlineStr">
        <is>
          <t>1. Запустить приложение.
2. На системном диалоге выбрать «Не разрешать».
3. Повторить с «Разрешить».</t>
        </is>
      </c>
      <c r="F8" s="10" t="inlineStr">
        <is>
          <t>Оба варианта не блокируют работу приложения. Диалог не мешает дальнейшей навигации.</t>
        </is>
      </c>
      <c r="G8" s="9" t="inlineStr">
        <is>
          <t>P2</t>
        </is>
      </c>
      <c r="H8" s="9" t="inlineStr">
        <is>
          <t>±</t>
        </is>
      </c>
      <c r="I8" s="9" t="inlineStr">
        <is>
          <t>Regression</t>
        </is>
      </c>
      <c r="J8" s="9" t="inlineStr">
        <is>
          <t>Безопасно</t>
        </is>
      </c>
      <c r="K8" s="9" t="inlineStr"/>
      <c r="L8" s="10" t="inlineStr"/>
      <c r="N8" s="11" t="inlineStr">
        <is>
          <t>P2</t>
        </is>
      </c>
      <c r="O8" s="12">
        <f>COUNTIF(G2:G139,"P2")</f>
        <v/>
      </c>
    </row>
    <row r="9">
      <c r="A9" s="9" t="inlineStr">
        <is>
          <t>ONB-08</t>
        </is>
      </c>
      <c r="B9" s="10" t="inlineStr">
        <is>
          <t>Запуск</t>
        </is>
      </c>
      <c r="C9" s="10" t="inlineStr">
        <is>
          <t>Сворачивание и возврат</t>
        </is>
      </c>
      <c r="D9" s="10" t="inlineStr">
        <is>
          <t>Пользователь авторизован; в корзине товар; открыт экран магазина</t>
        </is>
      </c>
      <c r="E9" s="10" t="inlineStr">
        <is>
          <t>1. Свернуть приложение на 2+ минуты.
2. Вернуться в приложение.</t>
        </is>
      </c>
      <c r="F9" s="10" t="inlineStr">
        <is>
          <t>Открыт тот же экран, корзина и состояние сохранены, нет вылета и бесконечной загрузки.</t>
        </is>
      </c>
      <c r="G9" s="9" t="inlineStr">
        <is>
          <t>P2</t>
        </is>
      </c>
      <c r="H9" s="9" t="inlineStr">
        <is>
          <t>+</t>
        </is>
      </c>
      <c r="I9" s="9" t="inlineStr">
        <is>
          <t>Regression</t>
        </is>
      </c>
      <c r="J9" s="9" t="inlineStr">
        <is>
          <t>Безопасно</t>
        </is>
      </c>
      <c r="K9" s="9" t="inlineStr"/>
      <c r="L9" s="10" t="inlineStr"/>
      <c r="N9" s="11" t="inlineStr">
        <is>
          <t>Негативные (−)</t>
        </is>
      </c>
      <c r="O9" s="12">
        <f>COUNTIF(H2:H139,"−")</f>
        <v/>
      </c>
    </row>
    <row r="10">
      <c r="A10" s="9" t="inlineStr">
        <is>
          <t>AUTH-01</t>
        </is>
      </c>
      <c r="B10" s="10" t="inlineStr">
        <is>
          <t>Вход</t>
        </is>
      </c>
      <c r="C10" s="10" t="inlineStr">
        <is>
          <t>Гость: переход к вводу номера</t>
        </is>
      </c>
      <c r="D10" s="10" t="inlineStr">
        <is>
          <t>Пользователь не авторизован (гость)</t>
        </is>
      </c>
      <c r="E10" s="10" t="inlineStr">
        <is>
          <t>1. Profile → «Kirish».
2. Ввести 9 цифр номера.
3. Нажать «Davom etish».</t>
        </is>
      </c>
      <c r="F10" s="10" t="inlineStr">
        <is>
          <t>Открывается экран ввода кода из 6 ячеек с заголовком «...kodni kiriting», на номер приходит SMS.</t>
        </is>
      </c>
      <c r="G10" s="9" t="inlineStr">
        <is>
          <t>P0</t>
        </is>
      </c>
      <c r="H10" s="9" t="inlineStr">
        <is>
          <t>+</t>
        </is>
      </c>
      <c r="I10" s="9" t="inlineStr">
        <is>
          <t>Sanity</t>
        </is>
      </c>
      <c r="J10" s="9" t="inlineStr">
        <is>
          <t>Безопасно</t>
        </is>
      </c>
      <c r="K10" s="9" t="inlineStr">
        <is>
          <t>PROF-G02</t>
        </is>
      </c>
      <c r="L10" s="10" t="inlineStr">
        <is>
          <t>Известная проблема SYS-17: «Davom etish» иногда не реагирует</t>
        </is>
      </c>
      <c r="N10" s="11" t="inlineStr">
        <is>
          <t>Реальный заказ</t>
        </is>
      </c>
      <c r="O10" s="12">
        <f>COUNTIF(J2:J139,"Реальный заказ")</f>
        <v/>
      </c>
    </row>
    <row r="11">
      <c r="A11" s="9" t="inlineStr">
        <is>
          <t>AUTH-02</t>
        </is>
      </c>
      <c r="B11" s="10" t="inlineStr">
        <is>
          <t>Вход</t>
        </is>
      </c>
      <c r="C11" s="10" t="inlineStr">
        <is>
          <t>Вход по корректному коду из SMS</t>
        </is>
      </c>
      <c r="D11" s="10" t="inlineStr">
        <is>
          <t>Открыт экран OTP (AUTH-01)</t>
        </is>
      </c>
      <c r="E11" s="10" t="inlineStr">
        <is>
          <t>1. Ввести код из SMS.
2. Нажать «Tasdiqlash» (если не срабатывает автоматически).</t>
        </is>
      </c>
      <c r="F11" s="10" t="inlineStr">
        <is>
          <t>Вход выполнен; Profile показывает имя, аватар, заказы. Появляются системные запросы разрешений (уведомления, геолокация).</t>
        </is>
      </c>
      <c r="G11" s="9" t="inlineStr">
        <is>
          <t>P0</t>
        </is>
      </c>
      <c r="H11" s="9" t="inlineStr">
        <is>
          <t>+</t>
        </is>
      </c>
      <c r="I11" s="9" t="inlineStr">
        <is>
          <t>Sanity</t>
        </is>
      </c>
      <c r="J11" s="9" t="inlineStr">
        <is>
          <t>Безопасно</t>
        </is>
      </c>
      <c r="K11" s="9" t="inlineStr"/>
      <c r="L11" s="10" t="inlineStr"/>
    </row>
    <row r="12">
      <c r="A12" s="9" t="inlineStr">
        <is>
          <t>AUTH-03</t>
        </is>
      </c>
      <c r="B12" s="10" t="inlineStr">
        <is>
          <t>Вход</t>
        </is>
      </c>
      <c r="C12" s="10" t="inlineStr">
        <is>
          <t>Неверный код OTP</t>
        </is>
      </c>
      <c r="D12" s="10" t="inlineStr">
        <is>
          <t>Открыт экран OTP</t>
        </is>
      </c>
      <c r="E12" s="10" t="inlineStr">
        <is>
          <t>1. Ввести 6 произвольных неверных цифр.
2. Подтвердить.</t>
        </is>
      </c>
      <c r="F12" s="10" t="inlineStr">
        <is>
          <t>Понятное сообщение об ошибке на языке интерфейса, вход не выполнен, можно ввести код повторно.</t>
        </is>
      </c>
      <c r="G12" s="9" t="inlineStr">
        <is>
          <t>P0</t>
        </is>
      </c>
      <c r="H12" s="9" t="inlineStr">
        <is>
          <t>−</t>
        </is>
      </c>
      <c r="I12" s="9" t="inlineStr">
        <is>
          <t>Sanity</t>
        </is>
      </c>
      <c r="J12" s="9" t="inlineStr">
        <is>
          <t>Безопасно</t>
        </is>
      </c>
      <c r="K12" s="9" t="inlineStr"/>
      <c r="L12" s="10" t="inlineStr"/>
    </row>
    <row r="13">
      <c r="A13" s="9" t="inlineStr">
        <is>
          <t>AUTH-04</t>
        </is>
      </c>
      <c r="B13" s="10" t="inlineStr">
        <is>
          <t>Вход</t>
        </is>
      </c>
      <c r="C13" s="10" t="inlineStr">
        <is>
          <t>Повторная отправка кода</t>
        </is>
      </c>
      <c r="D13" s="10" t="inlineStr">
        <is>
          <t>Открыт экран OTP</t>
        </is>
      </c>
      <c r="E13" s="10" t="inlineStr">
        <is>
          <t>1. Сразу после открытия проверить кнопку повторной отправки.
2. Дождаться окончания таймера (~30 с), нажать её.</t>
        </is>
      </c>
      <c r="F13" s="10" t="inlineStr">
        <is>
          <t>До окончания таймера отправка недоступна, виден обратный отсчёт. После — приходит новое SMS, старый код не принимается.</t>
        </is>
      </c>
      <c r="G13" s="9" t="inlineStr">
        <is>
          <t>P1</t>
        </is>
      </c>
      <c r="H13" s="9" t="inlineStr">
        <is>
          <t>±</t>
        </is>
      </c>
      <c r="I13" s="9" t="inlineStr">
        <is>
          <t>Regression</t>
        </is>
      </c>
      <c r="J13" s="9" t="inlineStr">
        <is>
          <t>Безопасно</t>
        </is>
      </c>
      <c r="K13" s="9" t="inlineStr"/>
      <c r="L13" s="10" t="inlineStr"/>
    </row>
    <row r="14">
      <c r="A14" s="9" t="inlineStr">
        <is>
          <t>AUTH-05</t>
        </is>
      </c>
      <c r="B14" s="10" t="inlineStr">
        <is>
          <t>Вход</t>
        </is>
      </c>
      <c r="C14" s="10" t="inlineStr">
        <is>
          <t>Неполный номер телефона</t>
        </is>
      </c>
      <c r="D14" s="10" t="inlineStr">
        <is>
          <t>Экран ввода номера</t>
        </is>
      </c>
      <c r="E14" s="10" t="inlineStr">
        <is>
          <t>1. Ввести 5 цифр.
2. Нажать «Davom etish».</t>
        </is>
      </c>
      <c r="F14" s="10" t="inlineStr">
        <is>
          <t>Переход не происходит: кнопка неактивна или показана ошибка валидации.</t>
        </is>
      </c>
      <c r="G14" s="9" t="inlineStr">
        <is>
          <t>P1</t>
        </is>
      </c>
      <c r="H14" s="9" t="inlineStr">
        <is>
          <t>−</t>
        </is>
      </c>
      <c r="I14" s="9" t="inlineStr">
        <is>
          <t>Regression</t>
        </is>
      </c>
      <c r="J14" s="9" t="inlineStr">
        <is>
          <t>Безопасно</t>
        </is>
      </c>
      <c r="K14" s="9" t="inlineStr"/>
      <c r="L14" s="10" t="inlineStr"/>
    </row>
    <row r="15">
      <c r="A15" s="9" t="inlineStr">
        <is>
          <t>AUTH-06</t>
        </is>
      </c>
      <c r="B15" s="10" t="inlineStr">
        <is>
          <t>Вход</t>
        </is>
      </c>
      <c r="C15" s="10" t="inlineStr">
        <is>
          <t>Вход посреди оформления заказа</t>
        </is>
      </c>
      <c r="D15" s="10" t="inlineStr">
        <is>
          <t>Гость; в корзине товар</t>
        </is>
      </c>
      <c r="E15" s="10" t="inlineStr">
        <is>
          <t>1. Открыть корзину → «To'lovga o'tish».
2. В шторке нажать «Kirish».
3. Пройти вход (AUTH-01, AUTH-02).</t>
        </is>
      </c>
      <c r="F15" s="10" t="inlineStr">
        <is>
          <t>После входа открывается экран «Xarid qilish», товары в корзине сохранены.</t>
        </is>
      </c>
      <c r="G15" s="9" t="inlineStr">
        <is>
          <t>P0</t>
        </is>
      </c>
      <c r="H15" s="9" t="inlineStr">
        <is>
          <t>+</t>
        </is>
      </c>
      <c r="I15" s="9" t="inlineStr">
        <is>
          <t>Sanity</t>
        </is>
      </c>
      <c r="J15" s="9" t="inlineStr">
        <is>
          <t>Безопасно</t>
        </is>
      </c>
      <c r="K15" s="9" t="inlineStr">
        <is>
          <t>CHK-01</t>
        </is>
      </c>
      <c r="L15" s="10" t="inlineStr"/>
    </row>
    <row r="16">
      <c r="A16" s="9" t="inlineStr">
        <is>
          <t>AUTH-07</t>
        </is>
      </c>
      <c r="B16" s="10" t="inlineStr">
        <is>
          <t>Вход</t>
        </is>
      </c>
      <c r="C16" s="10" t="inlineStr">
        <is>
          <t>Отмена выхода из аккаунта</t>
        </is>
      </c>
      <c r="D16" s="10" t="inlineStr">
        <is>
          <t>Пользователь авторизован</t>
        </is>
      </c>
      <c r="E16" s="10" t="inlineStr">
        <is>
          <t>1. Profile → «Hisobdan chiqish».
2. В шторке «Haqiqatan ham hisobingizdan chiqmoqchimisiz?» нажать «Bekor qilish».</t>
        </is>
      </c>
      <c r="F16" s="10" t="inlineStr">
        <is>
          <t>Шторка закрывается, пользователь остаётся авторизован.</t>
        </is>
      </c>
      <c r="G16" s="9" t="inlineStr">
        <is>
          <t>P1</t>
        </is>
      </c>
      <c r="H16" s="9" t="inlineStr">
        <is>
          <t>−</t>
        </is>
      </c>
      <c r="I16" s="9" t="inlineStr">
        <is>
          <t>Sanity</t>
        </is>
      </c>
      <c r="J16" s="9" t="inlineStr">
        <is>
          <t>Безопасно</t>
        </is>
      </c>
      <c r="K16" s="9" t="inlineStr">
        <is>
          <t>PROF-A04</t>
        </is>
      </c>
      <c r="L16" s="10" t="inlineStr"/>
    </row>
    <row r="17">
      <c r="A17" s="9" t="inlineStr">
        <is>
          <t>AUTH-08</t>
        </is>
      </c>
      <c r="B17" s="10" t="inlineStr">
        <is>
          <t>Вход</t>
        </is>
      </c>
      <c r="C17" s="10" t="inlineStr">
        <is>
          <t>Выход из аккаунта</t>
        </is>
      </c>
      <c r="D17" s="10" t="inlineStr">
        <is>
          <t>Пользователь авторизован</t>
        </is>
      </c>
      <c r="E17" s="10" t="inlineStr">
        <is>
          <t>1. Profile → «Hisobdan chiqish» → «Tizimdan chiqish».</t>
        </is>
      </c>
      <c r="F17" s="10" t="inlineStr">
        <is>
          <t>Profile переходит в гостевой вид: заглушка аватара, «Kirish», пункты Sevimlilar / Yordam / Sozlamalar. Заказы, адреса и карты недоступны.</t>
        </is>
      </c>
      <c r="G17" s="9" t="inlineStr">
        <is>
          <t>P1</t>
        </is>
      </c>
      <c r="H17" s="9" t="inlineStr">
        <is>
          <t>+</t>
        </is>
      </c>
      <c r="I17" s="9" t="inlineStr">
        <is>
          <t>Regression</t>
        </is>
      </c>
      <c r="J17" s="9" t="inlineStr">
        <is>
          <t>Меняет данные</t>
        </is>
      </c>
      <c r="K17" s="9" t="inlineStr">
        <is>
          <t>PROF-G01</t>
        </is>
      </c>
      <c r="L17" s="10" t="inlineStr">
        <is>
          <t>После теста войти заново по SMS</t>
        </is>
      </c>
    </row>
    <row r="18">
      <c r="A18" s="9" t="inlineStr">
        <is>
          <t>HOME-01</t>
        </is>
      </c>
      <c r="B18" s="10" t="inlineStr">
        <is>
          <t>Home</t>
        </is>
      </c>
      <c r="C18" s="10" t="inlineStr">
        <is>
          <t>Главный экран загружается</t>
        </is>
      </c>
      <c r="D18" s="10" t="inlineStr">
        <is>
          <t>Пользователь авторизован</t>
        </is>
      </c>
      <c r="E18" s="10" t="inlineStr">
        <is>
          <t>1. Открыть вкладку Home.</t>
        </is>
      </c>
      <c r="F18" s="10" t="inlineStr">
        <is>
          <t>Видны: шапка «Manzil» с адресом и ▾, сердце, чипы Hammasi / Bazar / Gullar / Kafe / Qandolat, баннер, заголовок «Yaqin atrofdagi do'konlar», карточки магазинов, нижняя навигация (Home / Savat / Profile).</t>
        </is>
      </c>
      <c r="G18" s="9" t="inlineStr">
        <is>
          <t>P0</t>
        </is>
      </c>
      <c r="H18" s="9" t="inlineStr">
        <is>
          <t>+</t>
        </is>
      </c>
      <c r="I18" s="9" t="inlineStr">
        <is>
          <t>Smoke</t>
        </is>
      </c>
      <c r="J18" s="9" t="inlineStr">
        <is>
          <t>Безопасно</t>
        </is>
      </c>
      <c r="K18" s="9" t="inlineStr">
        <is>
          <t>HOME-01</t>
        </is>
      </c>
      <c r="L18" s="10" t="inlineStr"/>
    </row>
    <row r="19">
      <c r="A19" s="9" t="inlineStr">
        <is>
          <t>HOME-02</t>
        </is>
      </c>
      <c r="B19" s="10" t="inlineStr">
        <is>
          <t>Home</t>
        </is>
      </c>
      <c r="C19" s="10" t="inlineStr">
        <is>
          <t>Карточки магазинов</t>
        </is>
      </c>
      <c r="D19" s="10" t="inlineStr">
        <is>
          <t>Пользователь авторизован</t>
        </is>
      </c>
      <c r="E19" s="10" t="inlineStr">
        <is>
          <t>1. Прокрутить список магазинов до конца.</t>
        </is>
      </c>
      <c r="F19" s="10" t="inlineStr">
        <is>
          <t>У каждой карточки фото, лого, название, часы работы, расстояние, статус «Ochiq»/«Yopiq». Список отсортирован по расстоянию, дублей нет.</t>
        </is>
      </c>
      <c r="G19" s="9" t="inlineStr">
        <is>
          <t>P1</t>
        </is>
      </c>
      <c r="H19" s="9" t="inlineStr">
        <is>
          <t>+</t>
        </is>
      </c>
      <c r="I19" s="9" t="inlineStr">
        <is>
          <t>Sanity</t>
        </is>
      </c>
      <c r="J19" s="9" t="inlineStr">
        <is>
          <t>Безопасно</t>
        </is>
      </c>
      <c r="K19" s="9" t="inlineStr">
        <is>
          <t>HOME-07</t>
        </is>
      </c>
      <c r="L19" s="10" t="inlineStr"/>
    </row>
    <row r="20">
      <c r="A20" s="9" t="inlineStr">
        <is>
          <t>HOME-03</t>
        </is>
      </c>
      <c r="B20" s="10" t="inlineStr">
        <is>
          <t>Home</t>
        </is>
      </c>
      <c r="C20" s="10" t="inlineStr">
        <is>
          <t>Статус магазина соответствует часам работы</t>
        </is>
      </c>
      <c r="D20" s="10" t="inlineStr">
        <is>
          <t>Выполнять, когда хотя бы один магазин закрыт (до открытия или после закрытия)</t>
        </is>
      </c>
      <c r="E20" s="10" t="inlineStr">
        <is>
          <t>1. Холодно запустить приложение.
2. Сравнить статус магазина с его часами и текущим временем.
3. Переключить чип и вернуться в «Hammasi».</t>
        </is>
      </c>
      <c r="F20" s="10" t="inlineStr">
        <is>
          <t>Закрытый магазин сразу показывает «Yopiq», открытый — «Ochiq». Статус не меняется при переключении чипов.</t>
        </is>
      </c>
      <c r="G20" s="9" t="inlineStr">
        <is>
          <t>P1</t>
        </is>
      </c>
      <c r="H20" s="9" t="inlineStr">
        <is>
          <t>−</t>
        </is>
      </c>
      <c r="I20" s="9" t="inlineStr">
        <is>
          <t>Regression</t>
        </is>
      </c>
      <c r="J20" s="9" t="inlineStr">
        <is>
          <t>Безопасно</t>
        </is>
      </c>
      <c r="K20" s="9" t="inlineStr"/>
      <c r="L20" s="10" t="inlineStr">
        <is>
          <t>BUG-009</t>
        </is>
      </c>
    </row>
    <row r="21">
      <c r="A21" s="9" t="inlineStr">
        <is>
          <t>HOME-04</t>
        </is>
      </c>
      <c r="B21" s="10" t="inlineStr">
        <is>
          <t>Home</t>
        </is>
      </c>
      <c r="C21" s="10" t="inlineStr">
        <is>
          <t>Фильтр «Bazar»</t>
        </is>
      </c>
      <c r="D21" s="10" t="inlineStr">
        <is>
          <t>Пользователь авторизован</t>
        </is>
      </c>
      <c r="E21" s="10" t="inlineStr">
        <is>
          <t>1. Нажать чип «Bazar».</t>
        </is>
      </c>
      <c r="F21" s="10" t="inlineStr">
        <is>
          <t>Показываются только продуктовые магазины, чип визуально выбран (только один чип выделен).</t>
        </is>
      </c>
      <c r="G21" s="9" t="inlineStr">
        <is>
          <t>P1</t>
        </is>
      </c>
      <c r="H21" s="9" t="inlineStr">
        <is>
          <t>+</t>
        </is>
      </c>
      <c r="I21" s="9" t="inlineStr">
        <is>
          <t>Sanity</t>
        </is>
      </c>
      <c r="J21" s="9" t="inlineStr">
        <is>
          <t>Безопасно</t>
        </is>
      </c>
      <c r="K21" s="9" t="inlineStr">
        <is>
          <t>HOME-02</t>
        </is>
      </c>
      <c r="L21" s="10" t="inlineStr"/>
    </row>
    <row r="22">
      <c r="A22" s="9" t="inlineStr">
        <is>
          <t>HOME-05</t>
        </is>
      </c>
      <c r="B22" s="10" t="inlineStr">
        <is>
          <t>Home</t>
        </is>
      </c>
      <c r="C22" s="10" t="inlineStr">
        <is>
          <t>Фильтры Gullar / Kafe / Qandolat и возврат к «Hammasi»</t>
        </is>
      </c>
      <c r="D22" s="10" t="inlineStr">
        <is>
          <t>Пользователь авторизован</t>
        </is>
      </c>
      <c r="E22" s="10" t="inlineStr">
        <is>
          <t>1. По очереди нажать Gullar, Kafe, Qandolat.
2. Нажать «Hammasi».</t>
        </is>
      </c>
      <c r="F22" s="10" t="inlineStr">
        <is>
          <t>Каждый чип показывает свои магазины. «Hammasi» возвращает полный список.</t>
        </is>
      </c>
      <c r="G22" s="9" t="inlineStr">
        <is>
          <t>P1</t>
        </is>
      </c>
      <c r="H22" s="9" t="inlineStr">
        <is>
          <t>+</t>
        </is>
      </c>
      <c r="I22" s="9" t="inlineStr">
        <is>
          <t>Regression</t>
        </is>
      </c>
      <c r="J22" s="9" t="inlineStr">
        <is>
          <t>Безопасно</t>
        </is>
      </c>
      <c r="K22" s="9" t="inlineStr">
        <is>
          <t>HOME-03</t>
        </is>
      </c>
      <c r="L22" s="10" t="inlineStr"/>
    </row>
    <row r="23">
      <c r="A23" s="9" t="inlineStr">
        <is>
          <t>HOME-06</t>
        </is>
      </c>
      <c r="B23" s="10" t="inlineStr">
        <is>
          <t>Home</t>
        </is>
      </c>
      <c r="C23" s="10" t="inlineStr">
        <is>
          <t>Пустая категория</t>
        </is>
      </c>
      <c r="D23" s="10" t="inlineStr">
        <is>
          <t>Для текущего адреса в категории нет магазинов (сейчас Qandolat)</t>
        </is>
      </c>
      <c r="E23" s="10" t="inlineStr">
        <is>
          <t>1. Нажать чип этой категории.</t>
        </is>
      </c>
      <c r="F23" s="10" t="inlineStr">
        <is>
          <t>Пустое состояние с корректным текстом «в этой категории нет магазинов», а не «не доставляем по этому адресу».</t>
        </is>
      </c>
      <c r="G23" s="9" t="inlineStr">
        <is>
          <t>P2</t>
        </is>
      </c>
      <c r="H23" s="9" t="inlineStr">
        <is>
          <t>−</t>
        </is>
      </c>
      <c r="I23" s="9" t="inlineStr">
        <is>
          <t>Regression</t>
        </is>
      </c>
      <c r="J23" s="9" t="inlineStr">
        <is>
          <t>Безопасно</t>
        </is>
      </c>
      <c r="K23" s="9" t="inlineStr"/>
      <c r="L23" s="10" t="inlineStr">
        <is>
          <t>BUG-010</t>
        </is>
      </c>
    </row>
    <row r="24">
      <c r="A24" s="9" t="inlineStr">
        <is>
          <t>HOME-07</t>
        </is>
      </c>
      <c r="B24" s="10" t="inlineStr">
        <is>
          <t>Home</t>
        </is>
      </c>
      <c r="C24" s="10" t="inlineStr">
        <is>
          <t>Баннер</t>
        </is>
      </c>
      <c r="D24" s="10" t="inlineStr">
        <is>
          <t>Пользователь авторизован</t>
        </is>
      </c>
      <c r="E24" s="10" t="inlineStr">
        <is>
          <t>1. Пролистать баннер свайпом влево/вправо.
2. Нажать на баннер.</t>
        </is>
      </c>
      <c r="F24" s="10" t="inlineStr">
        <is>
          <t>Слайды листаются, точки-индикаторы меняются. Тап выполняет ожидаемое действие (уточнить у продукта — сейчас ничего не происходит).</t>
        </is>
      </c>
      <c r="G24" s="9" t="inlineStr">
        <is>
          <t>P2</t>
        </is>
      </c>
      <c r="H24" s="9" t="inlineStr">
        <is>
          <t>+</t>
        </is>
      </c>
      <c r="I24" s="9" t="inlineStr">
        <is>
          <t>Regression</t>
        </is>
      </c>
      <c r="J24" s="9" t="inlineStr">
        <is>
          <t>Безопасно</t>
        </is>
      </c>
      <c r="K24" s="9" t="inlineStr">
        <is>
          <t>HOME-04</t>
        </is>
      </c>
      <c r="L24" s="10" t="inlineStr">
        <is>
          <t>Открытый вопрос Q-02</t>
        </is>
      </c>
    </row>
    <row r="25">
      <c r="A25" s="9" t="inlineStr">
        <is>
          <t>HOME-08</t>
        </is>
      </c>
      <c r="B25" s="10" t="inlineStr">
        <is>
          <t>Home</t>
        </is>
      </c>
      <c r="C25" s="10" t="inlineStr">
        <is>
          <t>Смена адреса через шапку</t>
        </is>
      </c>
      <c r="D25" s="10" t="inlineStr">
        <is>
          <t>Пользователь авторизован; сохранены адрес в зоне доставки и адрес вне зоны (Toshkent)</t>
        </is>
      </c>
      <c r="E25" s="10" t="inlineStr">
        <is>
          <t>1. Нажать на адрес в шапке.
2. Выбрать адрес вне зоны, «Tasdiqlash».
3. Вернуть исходный адрес.</t>
        </is>
      </c>
      <c r="F25" s="10" t="inlineStr">
        <is>
          <t>Для адреса вне зоны: «Hozircha bu manzilga yetkazib bermaymiz» и кнопка «Boshqa manzil tanlash». Для исходного адреса список магазинов возвращается.</t>
        </is>
      </c>
      <c r="G25" s="9" t="inlineStr">
        <is>
          <t>P1</t>
        </is>
      </c>
      <c r="H25" s="9" t="inlineStr">
        <is>
          <t>+</t>
        </is>
      </c>
      <c r="I25" s="9" t="inlineStr">
        <is>
          <t>Sanity</t>
        </is>
      </c>
      <c r="J25" s="9" t="inlineStr">
        <is>
          <t>Меняет данные</t>
        </is>
      </c>
      <c r="K25" s="9" t="inlineStr">
        <is>
          <t>HOME-05</t>
        </is>
      </c>
      <c r="L25" s="10" t="inlineStr"/>
    </row>
    <row r="26">
      <c r="A26" s="9" t="inlineStr">
        <is>
          <t>HOME-09</t>
        </is>
      </c>
      <c r="B26" s="10" t="inlineStr">
        <is>
          <t>Home</t>
        </is>
      </c>
      <c r="C26" s="10" t="inlineStr">
        <is>
          <t>Сердце в шапке открывает избранное</t>
        </is>
      </c>
      <c r="D26" s="10" t="inlineStr">
        <is>
          <t>Пользователь авторизован</t>
        </is>
      </c>
      <c r="E26" s="10" t="inlineStr">
        <is>
          <t>1. Нажать сердце в правом верхнем углу Home.</t>
        </is>
      </c>
      <c r="F26" s="10" t="inlineStr">
        <is>
          <t>Открывается экран «Sevimlilar».</t>
        </is>
      </c>
      <c r="G26" s="9" t="inlineStr">
        <is>
          <t>P2</t>
        </is>
      </c>
      <c r="H26" s="9" t="inlineStr">
        <is>
          <t>+</t>
        </is>
      </c>
      <c r="I26" s="9" t="inlineStr">
        <is>
          <t>Regression</t>
        </is>
      </c>
      <c r="J26" s="9" t="inlineStr">
        <is>
          <t>Безопасно</t>
        </is>
      </c>
      <c r="K26" s="9" t="inlineStr">
        <is>
          <t>HOME-06</t>
        </is>
      </c>
      <c r="L26" s="10" t="inlineStr"/>
    </row>
    <row r="27">
      <c r="A27" s="9" t="inlineStr">
        <is>
          <t>HOME-10</t>
        </is>
      </c>
      <c r="B27" s="10" t="inlineStr">
        <is>
          <t>Home</t>
        </is>
      </c>
      <c r="C27" s="10" t="inlineStr">
        <is>
          <t>Нижняя навигация и кнопка корзины</t>
        </is>
      </c>
      <c r="D27" s="10" t="inlineStr">
        <is>
          <t>Пользователь авторизован</t>
        </is>
      </c>
      <c r="E27" s="10" t="inlineStr">
        <is>
          <t>1. Переключиться Home → Profile → Home.
2. Добавить товар в корзину и посмотреть на центральную кнопку.</t>
        </is>
      </c>
      <c r="F27" s="10" t="inlineStr">
        <is>
          <t>Вкладки переключаются. При пустой корзине кнопка «Savat», при непустой — «&lt;сумма&gt; so'm · N mahsulot».</t>
        </is>
      </c>
      <c r="G27" s="9" t="inlineStr">
        <is>
          <t>P0</t>
        </is>
      </c>
      <c r="H27" s="9" t="inlineStr">
        <is>
          <t>+</t>
        </is>
      </c>
      <c r="I27" s="9" t="inlineStr">
        <is>
          <t>Smoke</t>
        </is>
      </c>
      <c r="J27" s="9" t="inlineStr">
        <is>
          <t>Безопасно</t>
        </is>
      </c>
      <c r="K27" s="9" t="inlineStr"/>
      <c r="L27" s="10" t="inlineStr"/>
    </row>
    <row r="28">
      <c r="A28" s="9" t="inlineStr">
        <is>
          <t>STORE-01</t>
        </is>
      </c>
      <c r="B28" s="10" t="inlineStr">
        <is>
          <t>Магазин</t>
        </is>
      </c>
      <c r="C28" s="10" t="inlineStr">
        <is>
          <t>Открытие магазина</t>
        </is>
      </c>
      <c r="D28" s="10" t="inlineStr">
        <is>
          <t>Пользователь авторизован</t>
        </is>
      </c>
      <c r="E28" s="10" t="inlineStr">
        <is>
          <t>1. На Home нажать на открытый магазин (Eco Bazar).</t>
        </is>
      </c>
      <c r="F28" s="10" t="inlineStr">
        <is>
          <t>Открывается магазин: стрелка назад, лого и название, лупа поиска, категории. Кнопка Savat внизу.</t>
        </is>
      </c>
      <c r="G28" s="9" t="inlineStr">
        <is>
          <t>P0</t>
        </is>
      </c>
      <c r="H28" s="9" t="inlineStr">
        <is>
          <t>+</t>
        </is>
      </c>
      <c r="I28" s="9" t="inlineStr">
        <is>
          <t>Smoke</t>
        </is>
      </c>
      <c r="J28" s="9" t="inlineStr">
        <is>
          <t>Безопасно</t>
        </is>
      </c>
      <c r="K28" s="9" t="inlineStr">
        <is>
          <t>STORE-01</t>
        </is>
      </c>
      <c r="L28" s="10" t="inlineStr"/>
    </row>
    <row r="29">
      <c r="A29" s="9" t="inlineStr">
        <is>
          <t>STORE-02</t>
        </is>
      </c>
      <c r="B29" s="10" t="inlineStr">
        <is>
          <t>Магазин</t>
        </is>
      </c>
      <c r="C29" s="10" t="inlineStr">
        <is>
          <t>Структура крупного магазина</t>
        </is>
      </c>
      <c r="D29" s="10" t="inlineStr">
        <is>
          <t>Открыт Eco Bazar</t>
        </is>
      </c>
      <c r="E29" s="10" t="inlineStr">
        <is>
          <t>1. Просмотреть верх экрана.
2. Прокрутить до конца.</t>
        </is>
      </c>
      <c r="F29" s="10" t="inlineStr">
        <is>
          <t>Плитки «Uy uchun bozorlik», «Barcha aksiyalar va chegirmalar», «Barcha mahsulotlar katalogi» (метка «Tez orada»); разделы (Birinchi ehtiyoj mollari, Meva va sabzavotlar, Go'sht, Sut, Suv va ichimliklar, Shirinlik...) с плитками категорий.</t>
        </is>
      </c>
      <c r="G29" s="9" t="inlineStr">
        <is>
          <t>P1</t>
        </is>
      </c>
      <c r="H29" s="9" t="inlineStr">
        <is>
          <t>+</t>
        </is>
      </c>
      <c r="I29" s="9" t="inlineStr">
        <is>
          <t>Sanity</t>
        </is>
      </c>
      <c r="J29" s="9" t="inlineStr">
        <is>
          <t>Безопасно</t>
        </is>
      </c>
      <c r="K29" s="9" t="inlineStr"/>
      <c r="L29" s="10" t="inlineStr"/>
    </row>
    <row r="30">
      <c r="A30" s="9" t="inlineStr">
        <is>
          <t>STORE-03</t>
        </is>
      </c>
      <c r="B30" s="10" t="inlineStr">
        <is>
          <t>Магазин</t>
        </is>
      </c>
      <c r="C30" s="10" t="inlineStr">
        <is>
          <t>Открытие категории и сетка товаров</t>
        </is>
      </c>
      <c r="D30" s="10" t="inlineStr">
        <is>
          <t>Открыт Eco Bazar</t>
        </is>
      </c>
      <c r="E30" s="10" t="inlineStr">
        <is>
          <t>1. Нажать категорию «Suv».
2. Переключить чипы подкатегорий (Gazlanmagan suv / Gazlangan suv).</t>
        </is>
      </c>
      <c r="F30" s="10" t="inlineStr">
        <is>
          <t>Сетка товаров: фото, цена «X XXX so'm», название, зелёный «+». Чипы прокручивают к своей секции.</t>
        </is>
      </c>
      <c r="G30" s="9" t="inlineStr">
        <is>
          <t>P0</t>
        </is>
      </c>
      <c r="H30" s="9" t="inlineStr">
        <is>
          <t>+</t>
        </is>
      </c>
      <c r="I30" s="9" t="inlineStr">
        <is>
          <t>Smoke</t>
        </is>
      </c>
      <c r="J30" s="9" t="inlineStr">
        <is>
          <t>Безопасно</t>
        </is>
      </c>
      <c r="K30" s="9" t="inlineStr">
        <is>
          <t>STORE-02</t>
        </is>
      </c>
      <c r="L30" s="10" t="inlineStr">
        <is>
          <t>Известно: тап по плитке после прокрутки иногда не срабатывает</t>
        </is>
      </c>
    </row>
    <row r="31">
      <c r="A31" s="9" t="inlineStr">
        <is>
          <t>STORE-04</t>
        </is>
      </c>
      <c r="B31" s="10" t="inlineStr">
        <is>
          <t>Магазин</t>
        </is>
      </c>
      <c r="C31" s="10" t="inlineStr">
        <is>
          <t>Акции и скидки</t>
        </is>
      </c>
      <c r="D31" s="10" t="inlineStr">
        <is>
          <t>Открыт Eco Bazar</t>
        </is>
      </c>
      <c r="E31" s="10" t="inlineStr">
        <is>
          <t>1. Нажать «Barcha aksiyalar va chegirmalar».</t>
        </is>
      </c>
      <c r="F31" s="10" t="inlineStr">
        <is>
          <t>Список акционных товаров, видны старая и новая цена (или понятное пустое состояние).</t>
        </is>
      </c>
      <c r="G31" s="9" t="inlineStr">
        <is>
          <t>P2</t>
        </is>
      </c>
      <c r="H31" s="9" t="inlineStr">
        <is>
          <t>+</t>
        </is>
      </c>
      <c r="I31" s="9" t="inlineStr">
        <is>
          <t>Regression</t>
        </is>
      </c>
      <c r="J31" s="9" t="inlineStr">
        <is>
          <t>Безопасно</t>
        </is>
      </c>
      <c r="K31" s="9" t="inlineStr"/>
      <c r="L31" s="10" t="inlineStr">
        <is>
          <t>Не исследовано вживую</t>
        </is>
      </c>
    </row>
    <row r="32">
      <c r="A32" s="9" t="inlineStr">
        <is>
          <t>STORE-05</t>
        </is>
      </c>
      <c r="B32" s="10" t="inlineStr">
        <is>
          <t>Магазин</t>
        </is>
      </c>
      <c r="C32" s="10" t="inlineStr">
        <is>
          <t>Плитка «Tez orada»</t>
        </is>
      </c>
      <c r="D32" s="10" t="inlineStr">
        <is>
          <t>Открыт Eco Bazar</t>
        </is>
      </c>
      <c r="E32" s="10" t="inlineStr">
        <is>
          <t>1. Нажать «Barcha mahsulotlar katalogi».</t>
        </is>
      </c>
      <c r="F32" s="10" t="inlineStr">
        <is>
          <t>Ничего не ломается: плитка неактивна или показывает сообщение «скоро».</t>
        </is>
      </c>
      <c r="G32" s="9" t="inlineStr">
        <is>
          <t>P2</t>
        </is>
      </c>
      <c r="H32" s="9" t="inlineStr">
        <is>
          <t>±</t>
        </is>
      </c>
      <c r="I32" s="9" t="inlineStr">
        <is>
          <t>Regression</t>
        </is>
      </c>
      <c r="J32" s="9" t="inlineStr">
        <is>
          <t>Безопасно</t>
        </is>
      </c>
      <c r="K32" s="9" t="inlineStr"/>
      <c r="L32" s="10" t="inlineStr"/>
    </row>
    <row r="33">
      <c r="A33" s="9" t="inlineStr">
        <is>
          <t>STORE-06</t>
        </is>
      </c>
      <c r="B33" s="10" t="inlineStr">
        <is>
          <t>Магазин</t>
        </is>
      </c>
      <c r="C33" s="10" t="inlineStr">
        <is>
          <t>Магазин с чипами категорий (Suvenir.uz)</t>
        </is>
      </c>
      <c r="D33" s="10" t="inlineStr">
        <is>
          <t>Пользователь авторизован</t>
        </is>
      </c>
      <c r="E33" s="10" t="inlineStr">
        <is>
          <t>1. Открыть Suvenir.uz.
2. Нажать чипы Xona o'simliklari / Donali gullar / Sun'iy gullar.</t>
        </is>
      </c>
      <c r="F33" s="10" t="inlineStr">
        <is>
          <t>Чипы прокручивают к соответствующим секциям, товары отображаются.</t>
        </is>
      </c>
      <c r="G33" s="9" t="inlineStr">
        <is>
          <t>P2</t>
        </is>
      </c>
      <c r="H33" s="9" t="inlineStr">
        <is>
          <t>+</t>
        </is>
      </c>
      <c r="I33" s="9" t="inlineStr">
        <is>
          <t>Regression</t>
        </is>
      </c>
      <c r="J33" s="9" t="inlineStr">
        <is>
          <t>Безопасно</t>
        </is>
      </c>
      <c r="K33" s="9" t="inlineStr"/>
      <c r="L33" s="10" t="inlineStr"/>
    </row>
    <row r="34">
      <c r="A34" s="9" t="inlineStr">
        <is>
          <t>STORE-07</t>
        </is>
      </c>
      <c r="B34" s="10" t="inlineStr">
        <is>
          <t>Магазин</t>
        </is>
      </c>
      <c r="C34" s="10" t="inlineStr">
        <is>
          <t>Закрытый магазин</t>
        </is>
      </c>
      <c r="D34" s="10" t="inlineStr">
        <is>
          <t>Магазин со статусом «Yopiq»</t>
        </is>
      </c>
      <c r="E34" s="10" t="inlineStr">
        <is>
          <t>1. Открыть закрытый магазин.
2. Попробовать добавить товар и перейти к оформлению.</t>
        </is>
      </c>
      <c r="F34" s="10" t="inlineStr">
        <is>
          <t>Поведение соответствует решению продукта: видна плашка «закрыт» и/или оформление блокируется либо предлагается ближайший слот. Сейчас предупреждений нет.</t>
        </is>
      </c>
      <c r="G34" s="9" t="inlineStr">
        <is>
          <t>P1</t>
        </is>
      </c>
      <c r="H34" s="9" t="inlineStr">
        <is>
          <t>−</t>
        </is>
      </c>
      <c r="I34" s="9" t="inlineStr">
        <is>
          <t>Regression</t>
        </is>
      </c>
      <c r="J34" s="9" t="inlineStr">
        <is>
          <t>Безопасно</t>
        </is>
      </c>
      <c r="K34" s="9" t="inlineStr"/>
      <c r="L34" s="10" t="inlineStr">
        <is>
          <t>Открытый вопрос Q-01</t>
        </is>
      </c>
    </row>
    <row r="35">
      <c r="A35" s="9" t="inlineStr">
        <is>
          <t>STORE-08</t>
        </is>
      </c>
      <c r="B35" s="10" t="inlineStr">
        <is>
          <t>Магазин</t>
        </is>
      </c>
      <c r="C35" s="10" t="inlineStr">
        <is>
          <t>Возврат из магазина</t>
        </is>
      </c>
      <c r="D35" s="10" t="inlineStr">
        <is>
          <t>Открыт магазин</t>
        </is>
      </c>
      <c r="E35" s="10" t="inlineStr">
        <is>
          <t>1. Нажать стрелку назад.
2. Повторить системной кнопкой «Назад».</t>
        </is>
      </c>
      <c r="F35" s="10" t="inlineStr">
        <is>
          <t>Возврат на Home, выбранный чип и список сохранены.</t>
        </is>
      </c>
      <c r="G35" s="9" t="inlineStr">
        <is>
          <t>P2</t>
        </is>
      </c>
      <c r="H35" s="9" t="inlineStr">
        <is>
          <t>+</t>
        </is>
      </c>
      <c r="I35" s="9" t="inlineStr">
        <is>
          <t>Regression</t>
        </is>
      </c>
      <c r="J35" s="9" t="inlineStr">
        <is>
          <t>Безопасно</t>
        </is>
      </c>
      <c r="K35" s="9" t="inlineStr"/>
      <c r="L35" s="10" t="inlineStr"/>
    </row>
    <row r="36">
      <c r="A36" s="9" t="inlineStr">
        <is>
          <t>SRCH-01</t>
        </is>
      </c>
      <c r="B36" s="10" t="inlineStr">
        <is>
          <t>Поиск</t>
        </is>
      </c>
      <c r="C36" s="10" t="inlineStr">
        <is>
          <t>Открытие поиска в магазине</t>
        </is>
      </c>
      <c r="D36" s="10" t="inlineStr">
        <is>
          <t>Открыт Eco Bazar</t>
        </is>
      </c>
      <c r="E36" s="10" t="inlineStr">
        <is>
          <t>1. Нажать лупу.</t>
        </is>
      </c>
      <c r="F36" s="10" t="inlineStr">
        <is>
          <t>Поле «Qidirish» в фокусе; блоки «Ommabop qidiruvlar» (популярные) и «Qidirish tarixi» (история) с «Tozalash».</t>
        </is>
      </c>
      <c r="G36" s="9" t="inlineStr">
        <is>
          <t>P1</t>
        </is>
      </c>
      <c r="H36" s="9" t="inlineStr">
        <is>
          <t>+</t>
        </is>
      </c>
      <c r="I36" s="9" t="inlineStr">
        <is>
          <t>Sanity</t>
        </is>
      </c>
      <c r="J36" s="9" t="inlineStr">
        <is>
          <t>Безопасно</t>
        </is>
      </c>
      <c r="K36" s="9" t="inlineStr">
        <is>
          <t>STORE-06</t>
        </is>
      </c>
      <c r="L36" s="10" t="inlineStr"/>
    </row>
    <row r="37">
      <c r="A37" s="9" t="inlineStr">
        <is>
          <t>SRCH-02</t>
        </is>
      </c>
      <c r="B37" s="10" t="inlineStr">
        <is>
          <t>Поиск</t>
        </is>
      </c>
      <c r="C37" s="10" t="inlineStr">
        <is>
          <t>Поиск латиницей</t>
        </is>
      </c>
      <c r="D37" s="10" t="inlineStr">
        <is>
          <t>Открыт поиск</t>
        </is>
      </c>
      <c r="E37" s="10" t="inlineStr">
        <is>
          <t>1. Ввести «suv».</t>
        </is>
      </c>
      <c r="F37" s="10" t="inlineStr">
        <is>
          <t>Результаты появляются по мере ввода, релевантны запросу, только товары этого магазина, с ценой и «+».</t>
        </is>
      </c>
      <c r="G37" s="9" t="inlineStr">
        <is>
          <t>P1</t>
        </is>
      </c>
      <c r="H37" s="9" t="inlineStr">
        <is>
          <t>+</t>
        </is>
      </c>
      <c r="I37" s="9" t="inlineStr">
        <is>
          <t>Sanity</t>
        </is>
      </c>
      <c r="J37" s="9" t="inlineStr">
        <is>
          <t>Безопасно</t>
        </is>
      </c>
      <c r="K37" s="9" t="inlineStr"/>
      <c r="L37" s="10" t="inlineStr"/>
    </row>
    <row r="38">
      <c r="A38" s="9" t="inlineStr">
        <is>
          <t>SRCH-03</t>
        </is>
      </c>
      <c r="B38" s="10" t="inlineStr">
        <is>
          <t>Поиск</t>
        </is>
      </c>
      <c r="C38" s="10" t="inlineStr">
        <is>
          <t>Поиск кириллицей</t>
        </is>
      </c>
      <c r="D38" s="10" t="inlineStr">
        <is>
          <t>Открыт поиск</t>
        </is>
      </c>
      <c r="E38" s="10" t="inlineStr">
        <is>
          <t>1. Ввести «вода».</t>
        </is>
      </c>
      <c r="F38" s="10" t="inlineStr">
        <is>
          <t>Находятся те же товары, что и по «suv» (или хотя бы релевантные).</t>
        </is>
      </c>
      <c r="G38" s="9" t="inlineStr">
        <is>
          <t>P2</t>
        </is>
      </c>
      <c r="H38" s="9" t="inlineStr">
        <is>
          <t>+</t>
        </is>
      </c>
      <c r="I38" s="9" t="inlineStr">
        <is>
          <t>Regression</t>
        </is>
      </c>
      <c r="J38" s="9" t="inlineStr">
        <is>
          <t>Безопасно</t>
        </is>
      </c>
      <c r="K38" s="9" t="inlineStr"/>
      <c r="L38" s="10" t="inlineStr"/>
    </row>
    <row r="39">
      <c r="A39" s="9" t="inlineStr">
        <is>
          <t>SRCH-04</t>
        </is>
      </c>
      <c r="B39" s="10" t="inlineStr">
        <is>
          <t>Поиск</t>
        </is>
      </c>
      <c r="C39" s="10" t="inlineStr">
        <is>
          <t>Ничего не найдено</t>
        </is>
      </c>
      <c r="D39" s="10" t="inlineStr">
        <is>
          <t>Открыт поиск</t>
        </is>
      </c>
      <c r="E39" s="10" t="inlineStr">
        <is>
          <t>1. Ввести «qwxzq».</t>
        </is>
      </c>
      <c r="F39" s="10" t="inlineStr">
        <is>
          <t>Пустое состояние «Siz izlagan mahsulot topilmadi». Если текст предлагает «отправить запрос» — такая кнопка должна быть.</t>
        </is>
      </c>
      <c r="G39" s="9" t="inlineStr">
        <is>
          <t>P2</t>
        </is>
      </c>
      <c r="H39" s="9" t="inlineStr">
        <is>
          <t>−</t>
        </is>
      </c>
      <c r="I39" s="9" t="inlineStr">
        <is>
          <t>Regression</t>
        </is>
      </c>
      <c r="J39" s="9" t="inlineStr">
        <is>
          <t>Безопасно</t>
        </is>
      </c>
      <c r="K39" s="9" t="inlineStr"/>
      <c r="L39" s="10" t="inlineStr">
        <is>
          <t>BUG-017</t>
        </is>
      </c>
    </row>
    <row r="40">
      <c r="A40" s="9" t="inlineStr">
        <is>
          <t>SRCH-05</t>
        </is>
      </c>
      <c r="B40" s="10" t="inlineStr">
        <is>
          <t>Поиск</t>
        </is>
      </c>
      <c r="C40" s="10" t="inlineStr">
        <is>
          <t>Популярные запросы и история</t>
        </is>
      </c>
      <c r="D40" s="10" t="inlineStr">
        <is>
          <t>Открыт поиск, в истории есть записи</t>
        </is>
      </c>
      <c r="E40" s="10" t="inlineStr">
        <is>
          <t>1. Нажать популярный запрос.
2. Очистить поле, нажать запись истории.</t>
        </is>
      </c>
      <c r="F40" s="10" t="inlineStr">
        <is>
          <t>Запрос подставляется в поле, показываются результаты.</t>
        </is>
      </c>
      <c r="G40" s="9" t="inlineStr">
        <is>
          <t>P2</t>
        </is>
      </c>
      <c r="H40" s="9" t="inlineStr">
        <is>
          <t>+</t>
        </is>
      </c>
      <c r="I40" s="9" t="inlineStr">
        <is>
          <t>Regression</t>
        </is>
      </c>
      <c r="J40" s="9" t="inlineStr">
        <is>
          <t>Безопасно</t>
        </is>
      </c>
      <c r="K40" s="9" t="inlineStr"/>
      <c r="L40" s="10" t="inlineStr"/>
    </row>
    <row r="41">
      <c r="A41" s="9" t="inlineStr">
        <is>
          <t>SRCH-06</t>
        </is>
      </c>
      <c r="B41" s="10" t="inlineStr">
        <is>
          <t>Поиск</t>
        </is>
      </c>
      <c r="C41" s="10" t="inlineStr">
        <is>
          <t>Очистка истории</t>
        </is>
      </c>
      <c r="D41" s="10" t="inlineStr">
        <is>
          <t>В истории есть записи</t>
        </is>
      </c>
      <c r="E41" s="10" t="inlineStr">
        <is>
          <t>1. Нажать × у одной записи.
2. Нажать «Tozalash».</t>
        </is>
      </c>
      <c r="F41" s="10" t="inlineStr">
        <is>
          <t>Запись удаляется; «Tozalash» очищает всю историю, блок исчезает.</t>
        </is>
      </c>
      <c r="G41" s="9" t="inlineStr">
        <is>
          <t>P2</t>
        </is>
      </c>
      <c r="H41" s="9" t="inlineStr">
        <is>
          <t>+</t>
        </is>
      </c>
      <c r="I41" s="9" t="inlineStr">
        <is>
          <t>Regression</t>
        </is>
      </c>
      <c r="J41" s="9" t="inlineStr">
        <is>
          <t>Меняет данные</t>
        </is>
      </c>
      <c r="K41" s="9" t="inlineStr"/>
      <c r="L41" s="10" t="inlineStr"/>
    </row>
    <row r="42">
      <c r="A42" s="9" t="inlineStr">
        <is>
          <t>SRCH-07</t>
        </is>
      </c>
      <c r="B42" s="10" t="inlineStr">
        <is>
          <t>Поиск</t>
        </is>
      </c>
      <c r="C42" s="10" t="inlineStr">
        <is>
          <t>Добавление в корзину из результатов</t>
        </is>
      </c>
      <c r="D42" s="10" t="inlineStr">
        <is>
          <t>Показаны результаты поиска</t>
        </is>
      </c>
      <c r="E42" s="10" t="inlineStr">
        <is>
          <t>1. Нажать «+» у товара.</t>
        </is>
      </c>
      <c r="F42" s="10" t="inlineStr">
        <is>
          <t>На карточке появляется степпер, кнопка Savat показывает сумму.</t>
        </is>
      </c>
      <c r="G42" s="9" t="inlineStr">
        <is>
          <t>P1</t>
        </is>
      </c>
      <c r="H42" s="9" t="inlineStr">
        <is>
          <t>+</t>
        </is>
      </c>
      <c r="I42" s="9" t="inlineStr">
        <is>
          <t>Regression</t>
        </is>
      </c>
      <c r="J42" s="9" t="inlineStr">
        <is>
          <t>Меняет данные</t>
        </is>
      </c>
      <c r="K42" s="9" t="inlineStr"/>
      <c r="L42" s="10" t="inlineStr"/>
    </row>
    <row r="43">
      <c r="A43" s="9" t="inlineStr">
        <is>
          <t>SRCH-08</t>
        </is>
      </c>
      <c r="B43" s="10" t="inlineStr">
        <is>
          <t>Поиск</t>
        </is>
      </c>
      <c r="C43" s="10" t="inlineStr">
        <is>
          <t>Нестандартный ввод</t>
        </is>
      </c>
      <c r="D43" s="10" t="inlineStr">
        <is>
          <t>Открыт поиск</t>
        </is>
      </c>
      <c r="E43" s="10" t="inlineStr">
        <is>
          <t>1. Ввести только пробелы.
2. Ввести спецсимволы «%$#'"».
3. Ввести строку из 200 символов.</t>
        </is>
      </c>
      <c r="F43" s="10" t="inlineStr">
        <is>
          <t>Нет вылета и зависания, корректное пустое состояние.</t>
        </is>
      </c>
      <c r="G43" s="9" t="inlineStr">
        <is>
          <t>P2</t>
        </is>
      </c>
      <c r="H43" s="9" t="inlineStr">
        <is>
          <t>−</t>
        </is>
      </c>
      <c r="I43" s="9" t="inlineStr">
        <is>
          <t>Regression</t>
        </is>
      </c>
      <c r="J43" s="9" t="inlineStr">
        <is>
          <t>Безопасно</t>
        </is>
      </c>
      <c r="K43" s="9" t="inlineStr"/>
      <c r="L43" s="10" t="inlineStr"/>
    </row>
    <row r="44">
      <c r="A44" s="9" t="inlineStr">
        <is>
          <t>PROD-01</t>
        </is>
      </c>
      <c r="B44" s="10" t="inlineStr">
        <is>
          <t>Товар</t>
        </is>
      </c>
      <c r="C44" s="10" t="inlineStr">
        <is>
          <t>Карточка товара</t>
        </is>
      </c>
      <c r="D44" s="10" t="inlineStr">
        <is>
          <t>Открыт магазин или результаты поиска</t>
        </is>
      </c>
      <c r="E44" s="10" t="inlineStr">
        <is>
          <t>1. Нажать на фото/название товара.</t>
        </is>
      </c>
      <c r="F44" s="10" t="inlineStr">
        <is>
          <t>Шторка: крупное фото, название, цена, «O'xshash mahsulotlar», «Savatga qo'shish», сердце.</t>
        </is>
      </c>
      <c r="G44" s="9" t="inlineStr">
        <is>
          <t>P1</t>
        </is>
      </c>
      <c r="H44" s="9" t="inlineStr">
        <is>
          <t>+</t>
        </is>
      </c>
      <c r="I44" s="9" t="inlineStr">
        <is>
          <t>Sanity</t>
        </is>
      </c>
      <c r="J44" s="9" t="inlineStr">
        <is>
          <t>Безопасно</t>
        </is>
      </c>
      <c r="K44" s="9" t="inlineStr"/>
      <c r="L44" s="10" t="inlineStr"/>
    </row>
    <row r="45">
      <c r="A45" s="9" t="inlineStr">
        <is>
          <t>PROD-02</t>
        </is>
      </c>
      <c r="B45" s="10" t="inlineStr">
        <is>
          <t>Товар</t>
        </is>
      </c>
      <c r="C45" s="10" t="inlineStr">
        <is>
          <t>Добавление из карточки товара</t>
        </is>
      </c>
      <c r="D45" s="10" t="inlineStr">
        <is>
          <t>Открыта карточка товара</t>
        </is>
      </c>
      <c r="E45" s="10" t="inlineStr">
        <is>
          <t>1. Нажать «Savatga qo'shish».</t>
        </is>
      </c>
      <c r="F45" s="10" t="inlineStr">
        <is>
          <t>Кнопка превращается в степпер (иконка удаления, 1, +), кнопка Savat показывает сумму.</t>
        </is>
      </c>
      <c r="G45" s="9" t="inlineStr">
        <is>
          <t>P1</t>
        </is>
      </c>
      <c r="H45" s="9" t="inlineStr">
        <is>
          <t>+</t>
        </is>
      </c>
      <c r="I45" s="9" t="inlineStr">
        <is>
          <t>Sanity</t>
        </is>
      </c>
      <c r="J45" s="9" t="inlineStr">
        <is>
          <t>Меняет данные</t>
        </is>
      </c>
      <c r="K45" s="9" t="inlineStr"/>
      <c r="L45" s="10" t="inlineStr"/>
    </row>
    <row r="46">
      <c r="A46" s="9" t="inlineStr">
        <is>
          <t>PROD-03</t>
        </is>
      </c>
      <c r="B46" s="10" t="inlineStr">
        <is>
          <t>Товар</t>
        </is>
      </c>
      <c r="C46" s="10" t="inlineStr">
        <is>
          <t>Степпер в карточке</t>
        </is>
      </c>
      <c r="D46" s="10" t="inlineStr">
        <is>
          <t>Товар добавлен (PROD-02)</t>
        </is>
      </c>
      <c r="E46" s="10" t="inlineStr">
        <is>
          <t>1. Нажать «+» дважды.
2. Нажать «−» до 1, затем иконку удаления.</t>
        </is>
      </c>
      <c r="F46" s="10" t="inlineStr">
        <is>
          <t>Количество 1→3→1, сумма пересчитывается; удаление убирает товар из корзины.</t>
        </is>
      </c>
      <c r="G46" s="9" t="inlineStr">
        <is>
          <t>P1</t>
        </is>
      </c>
      <c r="H46" s="9" t="inlineStr">
        <is>
          <t>+</t>
        </is>
      </c>
      <c r="I46" s="9" t="inlineStr">
        <is>
          <t>Regression</t>
        </is>
      </c>
      <c r="J46" s="9" t="inlineStr">
        <is>
          <t>Меняет данные</t>
        </is>
      </c>
      <c r="K46" s="9" t="inlineStr">
        <is>
          <t>STORE-04</t>
        </is>
      </c>
      <c r="L46" s="10" t="inlineStr"/>
    </row>
    <row r="47">
      <c r="A47" s="9" t="inlineStr">
        <is>
          <t>PROD-04</t>
        </is>
      </c>
      <c r="B47" s="10" t="inlineStr">
        <is>
          <t>Товар</t>
        </is>
      </c>
      <c r="C47" s="10" t="inlineStr">
        <is>
          <t>Похожие товары</t>
        </is>
      </c>
      <c r="D47" s="10" t="inlineStr">
        <is>
          <t>Открыта карточка товара</t>
        </is>
      </c>
      <c r="E47" s="10" t="inlineStr">
        <is>
          <t>1. Нажать «+» у похожего товара.
2. Нажать на похожий товар.</t>
        </is>
      </c>
      <c r="F47" s="10" t="inlineStr">
        <is>
          <t>«+» добавляет его в корзину; тап открывает его карточку. Фото и цены загружены.</t>
        </is>
      </c>
      <c r="G47" s="9" t="inlineStr">
        <is>
          <t>P2</t>
        </is>
      </c>
      <c r="H47" s="9" t="inlineStr">
        <is>
          <t>+</t>
        </is>
      </c>
      <c r="I47" s="9" t="inlineStr">
        <is>
          <t>Regression</t>
        </is>
      </c>
      <c r="J47" s="9" t="inlineStr">
        <is>
          <t>Меняет данные</t>
        </is>
      </c>
      <c r="K47" s="9" t="inlineStr"/>
      <c r="L47" s="10" t="inlineStr"/>
    </row>
    <row r="48">
      <c r="A48" s="9" t="inlineStr">
        <is>
          <t>PROD-05</t>
        </is>
      </c>
      <c r="B48" s="10" t="inlineStr">
        <is>
          <t>Товар</t>
        </is>
      </c>
      <c r="C48" s="10" t="inlineStr">
        <is>
          <t>Лимит количества</t>
        </is>
      </c>
      <c r="D48" s="10" t="inlineStr">
        <is>
          <t>Товар с ограничением количества (штучный, например «Karam, 1 dona»)</t>
        </is>
      </c>
      <c r="E48" s="10" t="inlineStr">
        <is>
          <t>1. Добавить товар и нажимать «+» сверх лимита.</t>
        </is>
      </c>
      <c r="F48" s="10" t="inlineStr">
        <is>
          <t>Количество не превышает лимит, степпер и сумма согласованы, показано понятное сообщение.</t>
        </is>
      </c>
      <c r="G48" s="9" t="inlineStr">
        <is>
          <t>P1</t>
        </is>
      </c>
      <c r="H48" s="9" t="inlineStr">
        <is>
          <t>−</t>
        </is>
      </c>
      <c r="I48" s="9" t="inlineStr">
        <is>
          <t>Regression</t>
        </is>
      </c>
      <c r="J48" s="9" t="inlineStr">
        <is>
          <t>Меняет данные</t>
        </is>
      </c>
      <c r="K48" s="9" t="inlineStr"/>
      <c r="L48" s="10" t="inlineStr">
        <is>
          <t>Ранее найдено: степпер показывал 2, а сумма считалась за 1</t>
        </is>
      </c>
    </row>
    <row r="49">
      <c r="A49" s="9" t="inlineStr">
        <is>
          <t>PROD-06</t>
        </is>
      </c>
      <c r="B49" s="10" t="inlineStr">
        <is>
          <t>Товар</t>
        </is>
      </c>
      <c r="C49" s="10" t="inlineStr">
        <is>
          <t>Закрытие карточки</t>
        </is>
      </c>
      <c r="D49" s="10" t="inlineStr">
        <is>
          <t>Открыта карточка товара</t>
        </is>
      </c>
      <c r="E49" s="10" t="inlineStr">
        <is>
          <t>1. Закрыть ×.
2. Открыть снова и закрыть свайпом вниз.</t>
        </is>
      </c>
      <c r="F49" s="10" t="inlineStr">
        <is>
          <t>Шторка закрывается, экран под ней в том же состоянии.</t>
        </is>
      </c>
      <c r="G49" s="9" t="inlineStr">
        <is>
          <t>P2</t>
        </is>
      </c>
      <c r="H49" s="9" t="inlineStr">
        <is>
          <t>+</t>
        </is>
      </c>
      <c r="I49" s="9" t="inlineStr">
        <is>
          <t>Regression</t>
        </is>
      </c>
      <c r="J49" s="9" t="inlineStr">
        <is>
          <t>Безопасно</t>
        </is>
      </c>
      <c r="K49" s="9" t="inlineStr"/>
      <c r="L49" s="10" t="inlineStr"/>
    </row>
    <row r="50">
      <c r="A50" s="9" t="inlineStr">
        <is>
          <t>FAV-01</t>
        </is>
      </c>
      <c r="B50" s="10" t="inlineStr">
        <is>
          <t>Избранное</t>
        </is>
      </c>
      <c r="C50" s="10" t="inlineStr">
        <is>
          <t>Добавление в избранное</t>
        </is>
      </c>
      <c r="D50" s="10" t="inlineStr">
        <is>
          <t>Открыта карточка товара, товар не в избранном</t>
        </is>
      </c>
      <c r="E50" s="10" t="inlineStr">
        <is>
          <t>1. Нажать сердце.
2. Открыть Profile → Sevimlilar.</t>
        </is>
      </c>
      <c r="F50" s="10" t="inlineStr">
        <is>
          <t>Сердце закрашено, товар в списке избранного, счётчик «Sevimlilar N» в профиле увеличился на 1.</t>
        </is>
      </c>
      <c r="G50" s="9" t="inlineStr">
        <is>
          <t>P1</t>
        </is>
      </c>
      <c r="H50" s="9" t="inlineStr">
        <is>
          <t>+</t>
        </is>
      </c>
      <c r="I50" s="9" t="inlineStr">
        <is>
          <t>Sanity</t>
        </is>
      </c>
      <c r="J50" s="9" t="inlineStr">
        <is>
          <t>Меняет данные</t>
        </is>
      </c>
      <c r="K50" s="9" t="inlineStr"/>
      <c r="L50" s="10" t="inlineStr">
        <is>
          <t>После теста убрать из избранного</t>
        </is>
      </c>
    </row>
    <row r="51">
      <c r="A51" s="9" t="inlineStr">
        <is>
          <t>FAV-02</t>
        </is>
      </c>
      <c r="B51" s="10" t="inlineStr">
        <is>
          <t>Избранное</t>
        </is>
      </c>
      <c r="C51" s="10" t="inlineStr">
        <is>
          <t>Удаление из избранного</t>
        </is>
      </c>
      <c r="D51" s="10" t="inlineStr">
        <is>
          <t>Товар в избранном</t>
        </is>
      </c>
      <c r="E51" s="10" t="inlineStr">
        <is>
          <t>1. Открыть товар из избранного, нажать закрашенное сердце.
2. Вернуться в список и в профиль.</t>
        </is>
      </c>
      <c r="F51" s="10" t="inlineStr">
        <is>
          <t>Товар пропадает из списка, счётчик уменьшается на 1 (и после перезапуска тоже).</t>
        </is>
      </c>
      <c r="G51" s="9" t="inlineStr">
        <is>
          <t>P1</t>
        </is>
      </c>
      <c r="H51" s="9" t="inlineStr">
        <is>
          <t>+</t>
        </is>
      </c>
      <c r="I51" s="9" t="inlineStr">
        <is>
          <t>Regression</t>
        </is>
      </c>
      <c r="J51" s="9" t="inlineStr">
        <is>
          <t>Меняет данные</t>
        </is>
      </c>
      <c r="K51" s="9" t="inlineStr"/>
      <c r="L51" s="10" t="inlineStr">
        <is>
          <t>BUG-011</t>
        </is>
      </c>
    </row>
    <row r="52">
      <c r="A52" s="9" t="inlineStr">
        <is>
          <t>FAV-03</t>
        </is>
      </c>
      <c r="B52" s="10" t="inlineStr">
        <is>
          <t>Избранное</t>
        </is>
      </c>
      <c r="C52" s="10" t="inlineStr">
        <is>
          <t>Отображение списка избранного</t>
        </is>
      </c>
      <c r="D52" s="10" t="inlineStr">
        <is>
          <t>В избранном 2+ товара</t>
        </is>
      </c>
      <c r="E52" s="10" t="inlineStr">
        <is>
          <t>1. Открыть Sevimlilar.</t>
        </is>
      </c>
      <c r="F52" s="10" t="inlineStr">
        <is>
          <t>Фото, название, цена в формате «15 000 so'm». Цена совпадает с ценой в магазине; понятно, из какого магазина товар.</t>
        </is>
      </c>
      <c r="G52" s="9" t="inlineStr">
        <is>
          <t>P2</t>
        </is>
      </c>
      <c r="H52" s="9" t="inlineStr">
        <is>
          <t>+</t>
        </is>
      </c>
      <c r="I52" s="9" t="inlineStr">
        <is>
          <t>Regression</t>
        </is>
      </c>
      <c r="J52" s="9" t="inlineStr">
        <is>
          <t>Безопасно</t>
        </is>
      </c>
      <c r="K52" s="9" t="inlineStr">
        <is>
          <t>PROF-A02</t>
        </is>
      </c>
      <c r="L52" s="10" t="inlineStr">
        <is>
          <t>BUG-012</t>
        </is>
      </c>
    </row>
    <row r="53">
      <c r="A53" s="9" t="inlineStr">
        <is>
          <t>FAV-04</t>
        </is>
      </c>
      <c r="B53" s="10" t="inlineStr">
        <is>
          <t>Избранное</t>
        </is>
      </c>
      <c r="C53" s="10" t="inlineStr">
        <is>
          <t>Добавление в корзину из избранного</t>
        </is>
      </c>
      <c r="D53" s="10" t="inlineStr">
        <is>
          <t>В избранном товар другого магазина, чем в корзине</t>
        </is>
      </c>
      <c r="E53" s="10" t="inlineStr">
        <is>
          <t>1. Открыть товар из избранного → «Savatga qo'shish».</t>
        </is>
      </c>
      <c r="F53" s="10" t="inlineStr">
        <is>
          <t>Если корзина из другого магазина — диалог «Savat yangilanadi» (как в CART-07).</t>
        </is>
      </c>
      <c r="G53" s="9" t="inlineStr">
        <is>
          <t>P2</t>
        </is>
      </c>
      <c r="H53" s="9" t="inlineStr">
        <is>
          <t>+</t>
        </is>
      </c>
      <c r="I53" s="9" t="inlineStr">
        <is>
          <t>Regression</t>
        </is>
      </c>
      <c r="J53" s="9" t="inlineStr">
        <is>
          <t>Меняет данные</t>
        </is>
      </c>
      <c r="K53" s="9" t="inlineStr"/>
      <c r="L53" s="10" t="inlineStr"/>
    </row>
    <row r="54">
      <c r="A54" s="9" t="inlineStr">
        <is>
          <t>FAV-05</t>
        </is>
      </c>
      <c r="B54" s="10" t="inlineStr">
        <is>
          <t>Избранное</t>
        </is>
      </c>
      <c r="C54" s="10" t="inlineStr">
        <is>
          <t>Пустое избранное</t>
        </is>
      </c>
      <c r="D54" s="10" t="inlineStr">
        <is>
          <t>Избранное пусто (гость или новый аккаунт)</t>
        </is>
      </c>
      <c r="E54" s="10" t="inlineStr">
        <is>
          <t>1. Открыть Sevimlilar.</t>
        </is>
      </c>
      <c r="F54" s="10" t="inlineStr">
        <is>
          <t>Понятное пустое состояние, без бесконечной загрузки.</t>
        </is>
      </c>
      <c r="G54" s="9" t="inlineStr">
        <is>
          <t>P2</t>
        </is>
      </c>
      <c r="H54" s="9" t="inlineStr">
        <is>
          <t>±</t>
        </is>
      </c>
      <c r="I54" s="9" t="inlineStr">
        <is>
          <t>Regression</t>
        </is>
      </c>
      <c r="J54" s="9" t="inlineStr">
        <is>
          <t>Безопасно</t>
        </is>
      </c>
      <c r="K54" s="9" t="inlineStr"/>
      <c r="L54" s="10" t="inlineStr"/>
    </row>
    <row r="55">
      <c r="A55" s="9" t="inlineStr">
        <is>
          <t>CART-01</t>
        </is>
      </c>
      <c r="B55" s="10" t="inlineStr">
        <is>
          <t>Корзина</t>
        </is>
      </c>
      <c r="C55" s="10" t="inlineStr">
        <is>
          <t>Добавление товара «+» в сетке</t>
        </is>
      </c>
      <c r="D55" s="10" t="inlineStr">
        <is>
          <t>Открыта категория магазина</t>
        </is>
      </c>
      <c r="E55" s="10" t="inlineStr">
        <is>
          <t>1. Нажать «+» на карточке товара.</t>
        </is>
      </c>
      <c r="F55" s="10" t="inlineStr">
        <is>
          <t>На карточке степпер «− 1 +», кнопка Savat показывает «&lt;цена&gt; so'm · 1 mahsulot».</t>
        </is>
      </c>
      <c r="G55" s="9" t="inlineStr">
        <is>
          <t>P0</t>
        </is>
      </c>
      <c r="H55" s="9" t="inlineStr">
        <is>
          <t>+</t>
        </is>
      </c>
      <c r="I55" s="9" t="inlineStr">
        <is>
          <t>Smoke</t>
        </is>
      </c>
      <c r="J55" s="9" t="inlineStr">
        <is>
          <t>Меняет данные</t>
        </is>
      </c>
      <c r="K55" s="9" t="inlineStr">
        <is>
          <t>STORE-03</t>
        </is>
      </c>
      <c r="L55" s="10" t="inlineStr"/>
    </row>
    <row r="56">
      <c r="A56" s="9" t="inlineStr">
        <is>
          <t>CART-02</t>
        </is>
      </c>
      <c r="B56" s="10" t="inlineStr">
        <is>
          <t>Корзина</t>
        </is>
      </c>
      <c r="C56" s="10" t="inlineStr">
        <is>
          <t>Содержимое корзины</t>
        </is>
      </c>
      <c r="D56" s="10" t="inlineStr">
        <is>
          <t>В корзине 1+ товар</t>
        </is>
      </c>
      <c r="E56" s="10" t="inlineStr">
        <is>
          <t>1. Нажать кнопку Savat.</t>
        </is>
      </c>
      <c r="F56" s="10" t="inlineStr">
        <is>
          <t>Шторка «Savat»: магазин, «Tozalash», товары (фото, название, степпер, цена), блок «Keling, hisoblaymiz» (Mahsulotlar (N), Umumiy qiymati), «Hech narsani unutmadingizmi?», кнопка «To'lovga o'tish».</t>
        </is>
      </c>
      <c r="G56" s="9" t="inlineStr">
        <is>
          <t>P0</t>
        </is>
      </c>
      <c r="H56" s="9" t="inlineStr">
        <is>
          <t>+</t>
        </is>
      </c>
      <c r="I56" s="9" t="inlineStr">
        <is>
          <t>Smoke</t>
        </is>
      </c>
      <c r="J56" s="9" t="inlineStr">
        <is>
          <t>Безопасно</t>
        </is>
      </c>
      <c r="K56" s="9" t="inlineStr">
        <is>
          <t>CART-01</t>
        </is>
      </c>
      <c r="L56" s="10" t="inlineStr">
        <is>
          <t>BUG-013: фото товара — заглушка</t>
        </is>
      </c>
    </row>
    <row r="57">
      <c r="A57" s="9" t="inlineStr">
        <is>
          <t>CART-03</t>
        </is>
      </c>
      <c r="B57" s="10" t="inlineStr">
        <is>
          <t>Корзина</t>
        </is>
      </c>
      <c r="C57" s="10" t="inlineStr">
        <is>
          <t>Изменение количества в корзине</t>
        </is>
      </c>
      <c r="D57" s="10" t="inlineStr">
        <is>
          <t>Открыта корзина с товаром</t>
        </is>
      </c>
      <c r="E57" s="10" t="inlineStr">
        <is>
          <t>1. Нажать «+».
2. Нажать «−».</t>
        </is>
      </c>
      <c r="F57" s="10" t="inlineStr">
        <is>
          <t>Количество и сумма строки пересчитываются, «Umumiy qiymati» = сумма строк.</t>
        </is>
      </c>
      <c r="G57" s="9" t="inlineStr">
        <is>
          <t>P0</t>
        </is>
      </c>
      <c r="H57" s="9" t="inlineStr">
        <is>
          <t>+</t>
        </is>
      </c>
      <c r="I57" s="9" t="inlineStr">
        <is>
          <t>Sanity</t>
        </is>
      </c>
      <c r="J57" s="9" t="inlineStr">
        <is>
          <t>Меняет данные</t>
        </is>
      </c>
      <c r="K57" s="9" t="inlineStr">
        <is>
          <t>CART-03</t>
        </is>
      </c>
      <c r="L57" s="10" t="inlineStr"/>
    </row>
    <row r="58">
      <c r="A58" s="9" t="inlineStr">
        <is>
          <t>CART-04</t>
        </is>
      </c>
      <c r="B58" s="10" t="inlineStr">
        <is>
          <t>Корзина</t>
        </is>
      </c>
      <c r="C58" s="10" t="inlineStr">
        <is>
          <t>Удаление последнего товара «−»</t>
        </is>
      </c>
      <c r="D58" s="10" t="inlineStr">
        <is>
          <t>В корзине 1 товар в количестве 1</t>
        </is>
      </c>
      <c r="E58" s="10" t="inlineStr">
        <is>
          <t>1. Нажать «−».</t>
        </is>
      </c>
      <c r="F58" s="10" t="inlineStr">
        <is>
          <t>Товар удаляется; пустое состояние «Voy, sizning savatingiz bo'sh ko'rinadi» и кнопка «Do'konlarga o'tish» (ведёт на Home).</t>
        </is>
      </c>
      <c r="G58" s="9" t="inlineStr">
        <is>
          <t>P1</t>
        </is>
      </c>
      <c r="H58" s="9" t="inlineStr">
        <is>
          <t>+</t>
        </is>
      </c>
      <c r="I58" s="9" t="inlineStr">
        <is>
          <t>Regression</t>
        </is>
      </c>
      <c r="J58" s="9" t="inlineStr">
        <is>
          <t>Меняет данные</t>
        </is>
      </c>
      <c r="K58" s="9" t="inlineStr"/>
      <c r="L58" s="10" t="inlineStr"/>
    </row>
    <row r="59">
      <c r="A59" s="9" t="inlineStr">
        <is>
          <t>CART-05</t>
        </is>
      </c>
      <c r="B59" s="10" t="inlineStr">
        <is>
          <t>Корзина</t>
        </is>
      </c>
      <c r="C59" s="10" t="inlineStr">
        <is>
          <t>Очистка корзины «Tozalash»</t>
        </is>
      </c>
      <c r="D59" s="10" t="inlineStr">
        <is>
          <t>В корзине товары</t>
        </is>
      </c>
      <c r="E59" s="10" t="inlineStr">
        <is>
          <t>1. Нажать «Tozalash».
2. В диалоге «Hammasini o'chirish» нажать «Bekor qilish».
3. Повторить и нажать «O'chirish».</t>
        </is>
      </c>
      <c r="F59" s="10" t="inlineStr">
        <is>
          <t>«Bekor qilish» ничего не меняет. «O'chirish» очищает корзину, показывает пустое состояние.</t>
        </is>
      </c>
      <c r="G59" s="9" t="inlineStr">
        <is>
          <t>P1</t>
        </is>
      </c>
      <c r="H59" s="9" t="inlineStr">
        <is>
          <t>±</t>
        </is>
      </c>
      <c r="I59" s="9" t="inlineStr">
        <is>
          <t>Sanity</t>
        </is>
      </c>
      <c r="J59" s="9" t="inlineStr">
        <is>
          <t>Меняет данные</t>
        </is>
      </c>
      <c r="K59" s="9" t="inlineStr">
        <is>
          <t>CART-02</t>
        </is>
      </c>
      <c r="L59" s="10" t="inlineStr"/>
    </row>
    <row r="60">
      <c r="A60" s="9" t="inlineStr">
        <is>
          <t>CART-06</t>
        </is>
      </c>
      <c r="B60" s="10" t="inlineStr">
        <is>
          <t>Корзина</t>
        </is>
      </c>
      <c r="C60" s="10" t="inlineStr">
        <is>
          <t>Рекомендации в корзине</t>
        </is>
      </c>
      <c r="D60" s="10" t="inlineStr">
        <is>
          <t>Открыта корзина</t>
        </is>
      </c>
      <c r="E60" s="10" t="inlineStr">
        <is>
          <t>1. В блоке «Hech narsani unutmadingizmi?» нажать «+».</t>
        </is>
      </c>
      <c r="F60" s="10" t="inlineStr">
        <is>
          <t>Товар добавляется в корзину, итог обновляется.</t>
        </is>
      </c>
      <c r="G60" s="9" t="inlineStr">
        <is>
          <t>P2</t>
        </is>
      </c>
      <c r="H60" s="9" t="inlineStr">
        <is>
          <t>+</t>
        </is>
      </c>
      <c r="I60" s="9" t="inlineStr">
        <is>
          <t>Regression</t>
        </is>
      </c>
      <c r="J60" s="9" t="inlineStr">
        <is>
          <t>Меняет данные</t>
        </is>
      </c>
      <c r="K60" s="9" t="inlineStr">
        <is>
          <t>CART-04</t>
        </is>
      </c>
      <c r="L60" s="10" t="inlineStr"/>
    </row>
    <row r="61">
      <c r="A61" s="9" t="inlineStr">
        <is>
          <t>CART-07</t>
        </is>
      </c>
      <c r="B61" s="10" t="inlineStr">
        <is>
          <t>Корзина</t>
        </is>
      </c>
      <c r="C61" s="10" t="inlineStr">
        <is>
          <t>Товар из другого магазина — отмена</t>
        </is>
      </c>
      <c r="D61" s="10" t="inlineStr">
        <is>
          <t>В корзине товар магазина A</t>
        </is>
      </c>
      <c r="E61" s="10" t="inlineStr">
        <is>
          <t>1. Открыть магазин B, нажать «+» у товара.
2. В диалоге «Savat yangilanadi» нажать «Bekor qilish».</t>
        </is>
      </c>
      <c r="F61" s="10" t="inlineStr">
        <is>
          <t>Диалог «Buyurtmada faqat bitta sotuvchi bo'lishi mumkin...». После отмены корзина не изменилась.</t>
        </is>
      </c>
      <c r="G61" s="9" t="inlineStr">
        <is>
          <t>P0</t>
        </is>
      </c>
      <c r="H61" s="9" t="inlineStr">
        <is>
          <t>−</t>
        </is>
      </c>
      <c r="I61" s="9" t="inlineStr">
        <is>
          <t>Sanity</t>
        </is>
      </c>
      <c r="J61" s="9" t="inlineStr">
        <is>
          <t>Безопасно</t>
        </is>
      </c>
      <c r="K61" s="9" t="inlineStr"/>
      <c r="L61" s="10" t="inlineStr"/>
    </row>
    <row r="62">
      <c r="A62" s="9" t="inlineStr">
        <is>
          <t>CART-08</t>
        </is>
      </c>
      <c r="B62" s="10" t="inlineStr">
        <is>
          <t>Корзина</t>
        </is>
      </c>
      <c r="C62" s="10" t="inlineStr">
        <is>
          <t>Товар из другого магазина — продолжить</t>
        </is>
      </c>
      <c r="D62" s="10" t="inlineStr">
        <is>
          <t>Как CART-07</t>
        </is>
      </c>
      <c r="E62" s="10" t="inlineStr">
        <is>
          <t>1. В диалоге нажать «Davom etish».</t>
        </is>
      </c>
      <c r="F62" s="10" t="inlineStr">
        <is>
          <t>Корзина очищена и содержит только новый товар магазина B.</t>
        </is>
      </c>
      <c r="G62" s="9" t="inlineStr">
        <is>
          <t>P1</t>
        </is>
      </c>
      <c r="H62" s="9" t="inlineStr">
        <is>
          <t>+</t>
        </is>
      </c>
      <c r="I62" s="9" t="inlineStr">
        <is>
          <t>Regression</t>
        </is>
      </c>
      <c r="J62" s="9" t="inlineStr">
        <is>
          <t>Меняет данные</t>
        </is>
      </c>
      <c r="K62" s="9" t="inlineStr"/>
      <c r="L62" s="10" t="inlineStr"/>
    </row>
    <row r="63">
      <c r="A63" s="9" t="inlineStr">
        <is>
          <t>CART-09</t>
        </is>
      </c>
      <c r="B63" s="10" t="inlineStr">
        <is>
          <t>Корзина</t>
        </is>
      </c>
      <c r="C63" s="10" t="inlineStr">
        <is>
          <t>Сохранение корзины после перезапуска</t>
        </is>
      </c>
      <c r="D63" s="10" t="inlineStr">
        <is>
          <t>В корзине товары</t>
        </is>
      </c>
      <c r="E63" s="10" t="inlineStr">
        <is>
          <t>1. Закрыть приложение из недавних.
2. Запустить снова.</t>
        </is>
      </c>
      <c r="F63" s="10" t="inlineStr">
        <is>
          <t>Кнопка Savat показывает ту же сумму, состав корзины сохранён.</t>
        </is>
      </c>
      <c r="G63" s="9" t="inlineStr">
        <is>
          <t>P1</t>
        </is>
      </c>
      <c r="H63" s="9" t="inlineStr">
        <is>
          <t>+</t>
        </is>
      </c>
      <c r="I63" s="9" t="inlineStr">
        <is>
          <t>Regression</t>
        </is>
      </c>
      <c r="J63" s="9" t="inlineStr">
        <is>
          <t>Безопасно</t>
        </is>
      </c>
      <c r="K63" s="9" t="inlineStr"/>
      <c r="L63" s="10" t="inlineStr"/>
    </row>
    <row r="64">
      <c r="A64" s="9" t="inlineStr">
        <is>
          <t>CART-10</t>
        </is>
      </c>
      <c r="B64" s="10" t="inlineStr">
        <is>
          <t>Корзина</t>
        </is>
      </c>
      <c r="C64" s="10" t="inlineStr">
        <is>
          <t>Много позиций и большое количество</t>
        </is>
      </c>
      <c r="D64" s="10" t="inlineStr"/>
      <c r="E64" s="10" t="inlineStr">
        <is>
          <t>1. Добавить 5+ разных товаров, у одного поставить количество 10.</t>
        </is>
      </c>
      <c r="F64" s="10" t="inlineStr">
        <is>
          <t>Итог верный (проверить калькулятором), список прокручивается, «Mahsulotlar (N)» = число позиций.</t>
        </is>
      </c>
      <c r="G64" s="9" t="inlineStr">
        <is>
          <t>P2</t>
        </is>
      </c>
      <c r="H64" s="9" t="inlineStr">
        <is>
          <t>±</t>
        </is>
      </c>
      <c r="I64" s="9" t="inlineStr">
        <is>
          <t>Regression</t>
        </is>
      </c>
      <c r="J64" s="9" t="inlineStr">
        <is>
          <t>Меняет данные</t>
        </is>
      </c>
      <c r="K64" s="9" t="inlineStr"/>
      <c r="L64" s="10" t="inlineStr"/>
    </row>
    <row r="65">
      <c r="A65" s="9" t="inlineStr">
        <is>
          <t>CHK-01</t>
        </is>
      </c>
      <c r="B65" s="10" t="inlineStr">
        <is>
          <t>Оформление</t>
        </is>
      </c>
      <c r="C65" s="10" t="inlineStr">
        <is>
          <t>Переход к оформлению</t>
        </is>
      </c>
      <c r="D65" s="10" t="inlineStr">
        <is>
          <t>Пользователь авторизован; в корзине товар открытого магазина</t>
        </is>
      </c>
      <c r="E65" s="10" t="inlineStr">
        <is>
          <t>1. Корзина → «To'lovga o'tish».</t>
        </is>
      </c>
      <c r="F65" s="10" t="inlineStr">
        <is>
          <t>Открывается «Xarid qilish» без запроса входа.</t>
        </is>
      </c>
      <c r="G65" s="9" t="inlineStr">
        <is>
          <t>P0</t>
        </is>
      </c>
      <c r="H65" s="9" t="inlineStr">
        <is>
          <t>+</t>
        </is>
      </c>
      <c r="I65" s="9" t="inlineStr">
        <is>
          <t>Smoke</t>
        </is>
      </c>
      <c r="J65" s="9" t="inlineStr">
        <is>
          <t>Безопасно</t>
        </is>
      </c>
      <c r="K65" s="9" t="inlineStr">
        <is>
          <t>CHK-02</t>
        </is>
      </c>
      <c r="L65" s="10" t="inlineStr"/>
    </row>
    <row r="66">
      <c r="A66" s="9" t="inlineStr">
        <is>
          <t>CHK-02</t>
        </is>
      </c>
      <c r="B66" s="10" t="inlineStr">
        <is>
          <t>Оформление</t>
        </is>
      </c>
      <c r="C66" s="10" t="inlineStr">
        <is>
          <t>Экран «Xarid qilish»</t>
        </is>
      </c>
      <c r="D66" s="10" t="inlineStr">
        <is>
          <t>Открыт экран оформления</t>
        </is>
      </c>
      <c r="E66" s="10" t="inlineStr">
        <is>
          <t>1. Просмотреть экран.</t>
        </is>
      </c>
      <c r="F66" s="10" t="inlineStr">
        <is>
          <t>Блоки: «Yetkazib berish tafsilotlari» (адрес, «Yaqin orada / Yaqin 2 soat», получатель имя+телефон, «Kuryerga izoh qoldirish»), «To'lov usuli», «Promokod», «Keling, hisoblaymiz», кнопка «Buyurtma qilish».</t>
        </is>
      </c>
      <c r="G66" s="9" t="inlineStr">
        <is>
          <t>P0</t>
        </is>
      </c>
      <c r="H66" s="9" t="inlineStr">
        <is>
          <t>+</t>
        </is>
      </c>
      <c r="I66" s="9" t="inlineStr">
        <is>
          <t>Smoke</t>
        </is>
      </c>
      <c r="J66" s="9" t="inlineStr">
        <is>
          <t>Безопасно</t>
        </is>
      </c>
      <c r="K66" s="9" t="inlineStr">
        <is>
          <t>CHK-03</t>
        </is>
      </c>
      <c r="L66" s="10" t="inlineStr"/>
    </row>
    <row r="67">
      <c r="A67" s="9" t="inlineStr">
        <is>
          <t>CHK-03</t>
        </is>
      </c>
      <c r="B67" s="10" t="inlineStr">
        <is>
          <t>Оформление</t>
        </is>
      </c>
      <c r="C67" s="10" t="inlineStr">
        <is>
          <t>Выбор адреса доставки</t>
        </is>
      </c>
      <c r="D67" s="10" t="inlineStr">
        <is>
          <t>Открыт экран оформления, сохранено 2+ адреса</t>
        </is>
      </c>
      <c r="E67" s="10" t="inlineStr">
        <is>
          <t>1. Нажать строку адреса.
2. Проверить отметку.
3. Выбрать другой адрес → «Saqlash».</t>
        </is>
      </c>
      <c r="F67" s="10" t="inlineStr">
        <is>
          <t>В шторке «Manzillar» отмечен текущий адрес, список совпадает с Profile → Manzillar. После «Saqlash» новый адрес в строке. Есть «Boshqa manzilga buyurtma berish».</t>
        </is>
      </c>
      <c r="G67" s="9" t="inlineStr">
        <is>
          <t>P1</t>
        </is>
      </c>
      <c r="H67" s="9" t="inlineStr">
        <is>
          <t>+</t>
        </is>
      </c>
      <c r="I67" s="9" t="inlineStr">
        <is>
          <t>Sanity</t>
        </is>
      </c>
      <c r="J67" s="9" t="inlineStr">
        <is>
          <t>Меняет данные</t>
        </is>
      </c>
      <c r="K67" s="9" t="inlineStr"/>
      <c r="L67" s="10" t="inlineStr">
        <is>
          <t>BUG-003</t>
        </is>
      </c>
    </row>
    <row r="68">
      <c r="A68" s="9" t="inlineStr">
        <is>
          <t>CHK-04</t>
        </is>
      </c>
      <c r="B68" s="10" t="inlineStr">
        <is>
          <t>Оформление</t>
        </is>
      </c>
      <c r="C68" s="10" t="inlineStr">
        <is>
          <t>Выбор времени доставки</t>
        </is>
      </c>
      <c r="D68" s="10" t="inlineStr">
        <is>
          <t>Открыт экран оформления</t>
        </is>
      </c>
      <c r="E68" s="10" t="inlineStr">
        <is>
          <t>1. Нажать строку времени.
2. Выбрать слот «Bugun ...» → «Tasdiqlash».</t>
        </is>
      </c>
      <c r="F68" s="10" t="inlineStr">
        <is>
          <t>Список: «Yaqin 2 soat» (по умолчанию ✓), слоты на сегодня в пределах часов работы магазина, затем «Ertaga». Выбранный слот отображается в строке.</t>
        </is>
      </c>
      <c r="G68" s="9" t="inlineStr">
        <is>
          <t>P1</t>
        </is>
      </c>
      <c r="H68" s="9" t="inlineStr">
        <is>
          <t>+</t>
        </is>
      </c>
      <c r="I68" s="9" t="inlineStr">
        <is>
          <t>Sanity</t>
        </is>
      </c>
      <c r="J68" s="9" t="inlineStr">
        <is>
          <t>Безопасно</t>
        </is>
      </c>
      <c r="K68" s="9" t="inlineStr"/>
      <c r="L68" s="10" t="inlineStr"/>
    </row>
    <row r="69">
      <c r="A69" s="9" t="inlineStr">
        <is>
          <t>CHK-05</t>
        </is>
      </c>
      <c r="B69" s="10" t="inlineStr">
        <is>
          <t>Оформление</t>
        </is>
      </c>
      <c r="C69" s="10" t="inlineStr">
        <is>
          <t>Изменение получателя</t>
        </is>
      </c>
      <c r="D69" s="10" t="inlineStr">
        <is>
          <t>Открыт экран оформления</t>
        </is>
      </c>
      <c r="E69" s="10" t="inlineStr">
        <is>
          <t>1. Нажать строку получателя.
2. Изменить имя → «Saqlash».
3. Вернуть исходное имя.</t>
        </is>
      </c>
      <c r="F69" s="10" t="inlineStr">
        <is>
          <t>Экран «Qabul qiluvchi ma'lumotlari» (Ism, Telefon raqami). Изменения видны в строке.</t>
        </is>
      </c>
      <c r="G69" s="9" t="inlineStr">
        <is>
          <t>P1</t>
        </is>
      </c>
      <c r="H69" s="9" t="inlineStr">
        <is>
          <t>+</t>
        </is>
      </c>
      <c r="I69" s="9" t="inlineStr">
        <is>
          <t>Regression</t>
        </is>
      </c>
      <c r="J69" s="9" t="inlineStr">
        <is>
          <t>Меняет данные</t>
        </is>
      </c>
      <c r="K69" s="9" t="inlineStr"/>
      <c r="L69" s="10" t="inlineStr"/>
    </row>
    <row r="70">
      <c r="A70" s="9" t="inlineStr">
        <is>
          <t>CHK-06</t>
        </is>
      </c>
      <c r="B70" s="10" t="inlineStr">
        <is>
          <t>Оформление</t>
        </is>
      </c>
      <c r="C70" s="10" t="inlineStr">
        <is>
          <t>Валидация получателя</t>
        </is>
      </c>
      <c r="D70" s="10" t="inlineStr">
        <is>
          <t>Открыт экран получателя</t>
        </is>
      </c>
      <c r="E70" s="10" t="inlineStr">
        <is>
          <t>1. Стереть телефон полностью → «Saqlash».
2. Ввести 8 цифр → «Saqlash».
3. Стереть имя → «Saqlash».</t>
        </is>
      </c>
      <c r="F70" s="10" t="inlineStr">
        <is>
          <t>Каждый раз ошибка валидации, сохранить нельзя, оформление с некорректным контактом невозможно.</t>
        </is>
      </c>
      <c r="G70" s="9" t="inlineStr">
        <is>
          <t>P0</t>
        </is>
      </c>
      <c r="H70" s="9" t="inlineStr">
        <is>
          <t>−</t>
        </is>
      </c>
      <c r="I70" s="9" t="inlineStr">
        <is>
          <t>Sanity</t>
        </is>
      </c>
      <c r="J70" s="9" t="inlineStr">
        <is>
          <t>Меняет данные</t>
        </is>
      </c>
      <c r="K70" s="9" t="inlineStr"/>
      <c r="L70" s="10" t="inlineStr">
        <is>
          <t>BUG-002. После теста вернуть номер</t>
        </is>
      </c>
    </row>
    <row r="71">
      <c r="A71" s="9" t="inlineStr">
        <is>
          <t>CHK-07</t>
        </is>
      </c>
      <c r="B71" s="10" t="inlineStr">
        <is>
          <t>Оформление</t>
        </is>
      </c>
      <c r="C71" s="10" t="inlineStr">
        <is>
          <t>Комментарий курьеру</t>
        </is>
      </c>
      <c r="D71" s="10" t="inlineStr">
        <is>
          <t>Открыт экран оформления</t>
        </is>
      </c>
      <c r="E71" s="10" t="inlineStr">
        <is>
          <t>1. «Kuryerga izoh qoldirish».
2. Ввести комментарий без «Xonadon».
3. Заполнить «Xonadon» → «Saqlash».</t>
        </is>
      </c>
      <c r="F71" s="10" t="inlineStr">
        <is>
          <t>Без «Xonadon» (обязательное *) кнопка «Saqlash» неактивна. После сохранения комментарий виден в строке.</t>
        </is>
      </c>
      <c r="G71" s="9" t="inlineStr">
        <is>
          <t>P1</t>
        </is>
      </c>
      <c r="H71" s="9" t="inlineStr">
        <is>
          <t>+</t>
        </is>
      </c>
      <c r="I71" s="9" t="inlineStr">
        <is>
          <t>Regression</t>
        </is>
      </c>
      <c r="J71" s="9" t="inlineStr">
        <is>
          <t>Меняет данные</t>
        </is>
      </c>
      <c r="K71" s="9" t="inlineStr"/>
      <c r="L71" s="10" t="inlineStr"/>
    </row>
    <row r="72">
      <c r="A72" s="9" t="inlineStr">
        <is>
          <t>CHK-08</t>
        </is>
      </c>
      <c r="B72" s="10" t="inlineStr">
        <is>
          <t>Оформление</t>
        </is>
      </c>
      <c r="C72" s="10" t="inlineStr">
        <is>
          <t>Комментарий: выход без сохранения</t>
        </is>
      </c>
      <c r="D72" s="10" t="inlineStr">
        <is>
          <t>Открыт экран комментария</t>
        </is>
      </c>
      <c r="E72" s="10" t="inlineStr">
        <is>
          <t>1. Ввести текст.
2. Закрыть × (не нажимая «Saqlash»).</t>
        </is>
      </c>
      <c r="F72" s="10" t="inlineStr">
        <is>
          <t>Введённый текст не применяется к заказу.</t>
        </is>
      </c>
      <c r="G72" s="9" t="inlineStr">
        <is>
          <t>P2</t>
        </is>
      </c>
      <c r="H72" s="9" t="inlineStr">
        <is>
          <t>−</t>
        </is>
      </c>
      <c r="I72" s="9" t="inlineStr">
        <is>
          <t>Regression</t>
        </is>
      </c>
      <c r="J72" s="9" t="inlineStr">
        <is>
          <t>Меняет данные</t>
        </is>
      </c>
      <c r="K72" s="9" t="inlineStr"/>
      <c r="L72" s="10" t="inlineStr">
        <is>
          <t>BUG-007</t>
        </is>
      </c>
    </row>
    <row r="73">
      <c r="A73" s="9" t="inlineStr">
        <is>
          <t>CHK-09</t>
        </is>
      </c>
      <c r="B73" s="10" t="inlineStr">
        <is>
          <t>Оформление</t>
        </is>
      </c>
      <c r="C73" s="10" t="inlineStr">
        <is>
          <t>Выбор способа оплаты</t>
        </is>
      </c>
      <c r="D73" s="10" t="inlineStr">
        <is>
          <t>Открыт экран оформления</t>
        </is>
      </c>
      <c r="E73" s="10" t="inlineStr">
        <is>
          <t>1. Нажать «To'lov usuli».
2. Выбрать «Naqd pul» → «Tasdiqlash».
3. Повторить с «Karta orqali» + карта.</t>
        </is>
      </c>
      <c r="F73" s="10" t="inlineStr">
        <is>
          <t>Шторка с вариантами «Naqd pul» и «Karta orqali». Выбранный способ отображается на экране оформления.</t>
        </is>
      </c>
      <c r="G73" s="9" t="inlineStr">
        <is>
          <t>P0</t>
        </is>
      </c>
      <c r="H73" s="9" t="inlineStr">
        <is>
          <t>+</t>
        </is>
      </c>
      <c r="I73" s="9" t="inlineStr">
        <is>
          <t>Sanity</t>
        </is>
      </c>
      <c r="J73" s="9" t="inlineStr">
        <is>
          <t>Безопасно</t>
        </is>
      </c>
      <c r="K73" s="9" t="inlineStr">
        <is>
          <t>CHK-05</t>
        </is>
      </c>
      <c r="L73" s="10" t="inlineStr"/>
    </row>
    <row r="74">
      <c r="A74" s="9" t="inlineStr">
        <is>
          <t>CHK-10</t>
        </is>
      </c>
      <c r="B74" s="10" t="inlineStr">
        <is>
          <t>Оформление</t>
        </is>
      </c>
      <c r="C74" s="10" t="inlineStr">
        <is>
          <t>Карта не выбрана</t>
        </is>
      </c>
      <c r="D74" s="10" t="inlineStr">
        <is>
          <t>Шторка оплаты</t>
        </is>
      </c>
      <c r="E74" s="10" t="inlineStr">
        <is>
          <t>1. Выбрать «Karta orqali», не выбирать карту.
2. «Tasdiqlash».</t>
        </is>
      </c>
      <c r="F74" s="10" t="inlineStr">
        <is>
          <t>Сообщение «Iltimos, kartani tanlang», шторка не закрывается.</t>
        </is>
      </c>
      <c r="G74" s="9" t="inlineStr">
        <is>
          <t>P1</t>
        </is>
      </c>
      <c r="H74" s="9" t="inlineStr">
        <is>
          <t>−</t>
        </is>
      </c>
      <c r="I74" s="9" t="inlineStr">
        <is>
          <t>Regression</t>
        </is>
      </c>
      <c r="J74" s="9" t="inlineStr">
        <is>
          <t>Безопасно</t>
        </is>
      </c>
      <c r="K74" s="9" t="inlineStr"/>
      <c r="L74" s="10" t="inlineStr"/>
    </row>
    <row r="75">
      <c r="A75" s="9" t="inlineStr">
        <is>
          <t>CHK-11</t>
        </is>
      </c>
      <c r="B75" s="10" t="inlineStr">
        <is>
          <t>Оформление</t>
        </is>
      </c>
      <c r="C75" s="10" t="inlineStr">
        <is>
          <t>Недостаточно средств на карте</t>
        </is>
      </c>
      <c r="D75" s="10" t="inlineStr">
        <is>
          <t>Баланс карты меньше суммы заказа</t>
        </is>
      </c>
      <c r="E75" s="10" t="inlineStr">
        <is>
          <t>1. «Karta orqali».
2. Попробовать выбрать карту.</t>
        </is>
      </c>
      <c r="F75" s="10" t="inlineStr">
        <is>
          <t>Карта неактивна с подписью «Kartada mablag' yetarli emas», выбрать её нельзя.</t>
        </is>
      </c>
      <c r="G75" s="9" t="inlineStr">
        <is>
          <t>P1</t>
        </is>
      </c>
      <c r="H75" s="9" t="inlineStr">
        <is>
          <t>−</t>
        </is>
      </c>
      <c r="I75" s="9" t="inlineStr">
        <is>
          <t>Regression</t>
        </is>
      </c>
      <c r="J75" s="9" t="inlineStr">
        <is>
          <t>Безопасно</t>
        </is>
      </c>
      <c r="K75" s="9" t="inlineStr"/>
      <c r="L75" s="10" t="inlineStr"/>
    </row>
    <row r="76">
      <c r="A76" s="9" t="inlineStr">
        <is>
          <t>CHK-12</t>
        </is>
      </c>
      <c r="B76" s="10" t="inlineStr">
        <is>
          <t>Оформление</t>
        </is>
      </c>
      <c r="C76" s="10" t="inlineStr">
        <is>
          <t>Неверный промокод</t>
        </is>
      </c>
      <c r="D76" s="10" t="inlineStr">
        <is>
          <t>Открыт экран оформления</t>
        </is>
      </c>
      <c r="E76" s="10" t="inlineStr">
        <is>
          <t>1. «Promokodni kiritish».
2. Ввести «TESTXYZ123» → «Tasdiqlash».</t>
        </is>
      </c>
      <c r="F76" s="10" t="inlineStr">
        <is>
          <t>Понятная ошибка на языке интерфейса, скидка не применена. «Tasdiqlash» неактивна при пустом поле.</t>
        </is>
      </c>
      <c r="G76" s="9" t="inlineStr">
        <is>
          <t>P2</t>
        </is>
      </c>
      <c r="H76" s="9" t="inlineStr">
        <is>
          <t>−</t>
        </is>
      </c>
      <c r="I76" s="9" t="inlineStr">
        <is>
          <t>Regression</t>
        </is>
      </c>
      <c r="J76" s="9" t="inlineStr">
        <is>
          <t>Безопасно</t>
        </is>
      </c>
      <c r="K76" s="9" t="inlineStr">
        <is>
          <t>CHK-07</t>
        </is>
      </c>
      <c r="L76" s="10" t="inlineStr">
        <is>
          <t>BUG-008</t>
        </is>
      </c>
    </row>
    <row r="77">
      <c r="A77" s="9" t="inlineStr">
        <is>
          <t>CHK-13</t>
        </is>
      </c>
      <c r="B77" s="10" t="inlineStr">
        <is>
          <t>Оформление</t>
        </is>
      </c>
      <c r="C77" s="10" t="inlineStr">
        <is>
          <t>Действующий промокод</t>
        </is>
      </c>
      <c r="D77" s="10" t="inlineStr">
        <is>
          <t>Есть действующий промокод</t>
        </is>
      </c>
      <c r="E77" s="10" t="inlineStr">
        <is>
          <t>1. Ввести промокод → «Tasdiqlash».</t>
        </is>
      </c>
      <c r="F77" s="10" t="inlineStr">
        <is>
          <t>Скидка отображается в «Keling, hisoblaymiz», итог уменьшен, промокод виден на экране.</t>
        </is>
      </c>
      <c r="G77" s="9" t="inlineStr">
        <is>
          <t>P1</t>
        </is>
      </c>
      <c r="H77" s="9" t="inlineStr">
        <is>
          <t>+</t>
        </is>
      </c>
      <c r="I77" s="9" t="inlineStr">
        <is>
          <t>Regression</t>
        </is>
      </c>
      <c r="J77" s="9" t="inlineStr">
        <is>
          <t>Безопасно</t>
        </is>
      </c>
      <c r="K77" s="9" t="inlineStr"/>
      <c r="L77" s="10" t="inlineStr">
        <is>
          <t>Нужен тестовый промокод (Q-07)</t>
        </is>
      </c>
    </row>
    <row r="78">
      <c r="A78" s="9" t="inlineStr">
        <is>
          <t>CHK-14</t>
        </is>
      </c>
      <c r="B78" s="10" t="inlineStr">
        <is>
          <t>Оформление</t>
        </is>
      </c>
      <c r="C78" s="10" t="inlineStr">
        <is>
          <t>Расчёт итоговой суммы</t>
        </is>
      </c>
      <c r="D78" s="10" t="inlineStr">
        <is>
          <t>Открыт экран оформления</t>
        </is>
      </c>
      <c r="E78" s="10" t="inlineStr">
        <is>
          <t>1. Сравнить суммы с корзиной.</t>
        </is>
      </c>
      <c r="F78" s="10" t="inlineStr">
        <is>
          <t>Mahsulotlar = сумма корзины; стоимость доставки показана (если есть); Umumiy qiymati = товары + доставка − скидка.</t>
        </is>
      </c>
      <c r="G78" s="9" t="inlineStr">
        <is>
          <t>P0</t>
        </is>
      </c>
      <c r="H78" s="9" t="inlineStr">
        <is>
          <t>±</t>
        </is>
      </c>
      <c r="I78" s="9" t="inlineStr">
        <is>
          <t>Sanity</t>
        </is>
      </c>
      <c r="J78" s="9" t="inlineStr">
        <is>
          <t>Безопасно</t>
        </is>
      </c>
      <c r="K78" s="9" t="inlineStr"/>
      <c r="L78" s="10" t="inlineStr">
        <is>
          <t>Открытый вопрос Q-03: доставка не показана при оформлении, но есть в деталях заказа</t>
        </is>
      </c>
    </row>
    <row r="79">
      <c r="A79" s="9" t="inlineStr">
        <is>
          <t>CHK-15</t>
        </is>
      </c>
      <c r="B79" s="10" t="inlineStr">
        <is>
          <t>Оформление</t>
        </is>
      </c>
      <c r="C79" s="10" t="inlineStr">
        <is>
          <t>Закрытие оформления</t>
        </is>
      </c>
      <c r="D79" s="10" t="inlineStr">
        <is>
          <t>Открыт экран оформления</t>
        </is>
      </c>
      <c r="E79" s="10" t="inlineStr">
        <is>
          <t>1. Нажать × в правом верхнем углу.</t>
        </is>
      </c>
      <c r="F79" s="10" t="inlineStr">
        <is>
          <t>Возврат в корзину, товары на месте.</t>
        </is>
      </c>
      <c r="G79" s="9" t="inlineStr">
        <is>
          <t>P1</t>
        </is>
      </c>
      <c r="H79" s="9" t="inlineStr">
        <is>
          <t>+</t>
        </is>
      </c>
      <c r="I79" s="9" t="inlineStr">
        <is>
          <t>Regression</t>
        </is>
      </c>
      <c r="J79" s="9" t="inlineStr">
        <is>
          <t>Безопасно</t>
        </is>
      </c>
      <c r="K79" s="9" t="inlineStr"/>
      <c r="L79" s="10" t="inlineStr"/>
    </row>
    <row r="80">
      <c r="A80" s="9" t="inlineStr">
        <is>
          <t>ORD-01</t>
        </is>
      </c>
      <c r="B80" s="10" t="inlineStr">
        <is>
          <t>Заказ</t>
        </is>
      </c>
      <c r="C80" s="10" t="inlineStr">
        <is>
          <t>Заказ с оплатой наличными</t>
        </is>
      </c>
      <c r="D80" s="10" t="inlineStr">
        <is>
          <t>Пользователь авторизован; корзина из открытого магазина (не из списка исключений); способ оплаты «Naqd pul»</t>
        </is>
      </c>
      <c r="E80" s="10" t="inlineStr">
        <is>
          <t>1. «Buyurtma qilish».
2. Открыть Profile → Buyurtmalar → Faol.</t>
        </is>
      </c>
      <c r="F80" s="10" t="inlineStr">
        <is>
          <t>Экран успеха; заказ с новым номером TEZxxxxx во вкладке «Faol»; корзина пуста.</t>
        </is>
      </c>
      <c r="G80" s="9" t="inlineStr">
        <is>
          <t>P0</t>
        </is>
      </c>
      <c r="H80" s="9" t="inlineStr">
        <is>
          <t>+</t>
        </is>
      </c>
      <c r="I80" s="9" t="inlineStr">
        <is>
          <t>Smoke</t>
        </is>
      </c>
      <c r="J80" s="9" t="inlineStr">
        <is>
          <t>Реальный заказ</t>
        </is>
      </c>
      <c r="K80" s="9" t="inlineStr">
        <is>
          <t>ORD-01</t>
        </is>
      </c>
      <c r="L80" s="10" t="inlineStr">
        <is>
          <t>Сразу после проверки отменить (ORD-03)</t>
        </is>
      </c>
    </row>
    <row r="81">
      <c r="A81" s="9" t="inlineStr">
        <is>
          <t>ORD-02</t>
        </is>
      </c>
      <c r="B81" s="10" t="inlineStr">
        <is>
          <t>Заказ</t>
        </is>
      </c>
      <c r="C81" s="10" t="inlineStr">
        <is>
          <t>Заказ с оплатой картой</t>
        </is>
      </c>
      <c r="D81" s="10" t="inlineStr">
        <is>
          <t>Карта с достаточным балансом</t>
        </is>
      </c>
      <c r="E81" s="10" t="inlineStr">
        <is>
          <t>1. Выбрать «Karta orqali» и карту.
2. «Buyurtma qilish».</t>
        </is>
      </c>
      <c r="F81" s="10" t="inlineStr">
        <is>
          <t>Оплата проходит, баланс карты уменьшается, заказ в «Faol», способ оплаты в деталях — карта.</t>
        </is>
      </c>
      <c r="G81" s="9" t="inlineStr">
        <is>
          <t>P0</t>
        </is>
      </c>
      <c r="H81" s="9" t="inlineStr">
        <is>
          <t>+</t>
        </is>
      </c>
      <c r="I81" s="9" t="inlineStr">
        <is>
          <t>Sanity</t>
        </is>
      </c>
      <c r="J81" s="9" t="inlineStr">
        <is>
          <t>Реальный заказ</t>
        </is>
      </c>
      <c r="K81" s="9" t="inlineStr">
        <is>
          <t>ORD-03</t>
        </is>
      </c>
      <c r="L81" s="10" t="inlineStr">
        <is>
          <t>Сразу отменить и проверить возврат денег</t>
        </is>
      </c>
    </row>
    <row r="82">
      <c r="A82" s="9" t="inlineStr">
        <is>
          <t>ORD-03</t>
        </is>
      </c>
      <c r="B82" s="10" t="inlineStr">
        <is>
          <t>Заказ</t>
        </is>
      </c>
      <c r="C82" s="10" t="inlineStr">
        <is>
          <t>Отмена свежего заказа</t>
        </is>
      </c>
      <c r="D82" s="10" t="inlineStr">
        <is>
          <t>Только что созданный заказ (ORD-01/02)</t>
        </is>
      </c>
      <c r="E82" s="10" t="inlineStr">
        <is>
          <t>1. Открыть заказ.
2. Отменить (иконка/кнопка отмены → «Buyurtmani bekor qilish»).</t>
        </is>
      </c>
      <c r="F82" s="10" t="inlineStr">
        <is>
          <t>Статус «Bekor qilindi», заказ во вкладке «Tugallangan». Для карты — деньги возвращены.</t>
        </is>
      </c>
      <c r="G82" s="9" t="inlineStr">
        <is>
          <t>P0</t>
        </is>
      </c>
      <c r="H82" s="9" t="inlineStr">
        <is>
          <t>+</t>
        </is>
      </c>
      <c r="I82" s="9" t="inlineStr">
        <is>
          <t>Smoke</t>
        </is>
      </c>
      <c r="J82" s="9" t="inlineStr">
        <is>
          <t>Реальный заказ</t>
        </is>
      </c>
      <c r="K82" s="9" t="inlineStr">
        <is>
          <t>ORDH-05</t>
        </is>
      </c>
      <c r="L82" s="10" t="inlineStr"/>
    </row>
    <row r="83">
      <c r="A83" s="9" t="inlineStr">
        <is>
          <t>ORD-04</t>
        </is>
      </c>
      <c r="B83" s="10" t="inlineStr">
        <is>
          <t>Заказ</t>
        </is>
      </c>
      <c r="C83" s="10" t="inlineStr">
        <is>
          <t>Потеря сети при оформлении</t>
        </is>
      </c>
      <c r="D83" s="10" t="inlineStr">
        <is>
          <t>Экран оформления, всё выбрано</t>
        </is>
      </c>
      <c r="E83" s="10" t="inlineStr">
        <is>
          <t>1. Включить режим полёта.
2. «Buyurtma qilish».
3. Выключить режим полёта, проверить «Buyurtmalar».</t>
        </is>
      </c>
      <c r="F83" s="10" t="inlineStr">
        <is>
          <t>Экран ошибки (Xato / «Qayta urinib ko'ring» / «Bosh sahifa»), корзина не теряется, лишний заказ не создан.</t>
        </is>
      </c>
      <c r="G83" s="9" t="inlineStr">
        <is>
          <t>P1</t>
        </is>
      </c>
      <c r="H83" s="9" t="inlineStr">
        <is>
          <t>−</t>
        </is>
      </c>
      <c r="I83" s="9" t="inlineStr">
        <is>
          <t>Regression</t>
        </is>
      </c>
      <c r="J83" s="9" t="inlineStr">
        <is>
          <t>Реальный заказ</t>
        </is>
      </c>
      <c r="K83" s="9" t="inlineStr">
        <is>
          <t>ORD-02</t>
        </is>
      </c>
      <c r="L83" s="10" t="inlineStr">
        <is>
          <t>Ранее такие тесты создавали реальные заказы — проверять список заказов</t>
        </is>
      </c>
    </row>
    <row r="84">
      <c r="A84" s="9" t="inlineStr">
        <is>
          <t>ORD-05</t>
        </is>
      </c>
      <c r="B84" s="10" t="inlineStr">
        <is>
          <t>Заказ</t>
        </is>
      </c>
      <c r="C84" s="10" t="inlineStr">
        <is>
          <t>Двойной тап по «Buyurtma qilish»</t>
        </is>
      </c>
      <c r="D84" s="10" t="inlineStr">
        <is>
          <t>Экран оформления</t>
        </is>
      </c>
      <c r="E84" s="10" t="inlineStr">
        <is>
          <t>1. Быстро дважды нажать «Buyurtma qilish».</t>
        </is>
      </c>
      <c r="F84" s="10" t="inlineStr">
        <is>
          <t>Создан ровно один заказ.</t>
        </is>
      </c>
      <c r="G84" s="9" t="inlineStr">
        <is>
          <t>P1</t>
        </is>
      </c>
      <c r="H84" s="9" t="inlineStr">
        <is>
          <t>−</t>
        </is>
      </c>
      <c r="I84" s="9" t="inlineStr">
        <is>
          <t>Regression</t>
        </is>
      </c>
      <c r="J84" s="9" t="inlineStr">
        <is>
          <t>Реальный заказ</t>
        </is>
      </c>
      <c r="K84" s="9" t="inlineStr"/>
      <c r="L84" s="10" t="inlineStr">
        <is>
          <t>Отменить созданный заказ</t>
        </is>
      </c>
    </row>
    <row r="85">
      <c r="A85" s="9" t="inlineStr">
        <is>
          <t>ORD-06</t>
        </is>
      </c>
      <c r="B85" s="10" t="inlineStr">
        <is>
          <t>Заказ</t>
        </is>
      </c>
      <c r="C85" s="10" t="inlineStr">
        <is>
          <t>Данные оформления попадают в заказ</t>
        </is>
      </c>
      <c r="D85" s="10" t="inlineStr">
        <is>
          <t>Выбраны слот времени, комментарий, получатель</t>
        </is>
      </c>
      <c r="E85" s="10" t="inlineStr">
        <is>
          <t>1. Оформить заказ.
2. Открыть детали → «Ko'rish».</t>
        </is>
      </c>
      <c r="F85" s="10" t="inlineStr">
        <is>
          <t>Адрес, получатель, телефон, комментарий, слот и способ оплаты совпадают с выбранными.</t>
        </is>
      </c>
      <c r="G85" s="9" t="inlineStr">
        <is>
          <t>P2</t>
        </is>
      </c>
      <c r="H85" s="9" t="inlineStr">
        <is>
          <t>+</t>
        </is>
      </c>
      <c r="I85" s="9" t="inlineStr">
        <is>
          <t>Regression</t>
        </is>
      </c>
      <c r="J85" s="9" t="inlineStr">
        <is>
          <t>Реальный заказ</t>
        </is>
      </c>
      <c r="K85" s="9" t="inlineStr"/>
      <c r="L85" s="10" t="inlineStr">
        <is>
          <t>Отменить заказ</t>
        </is>
      </c>
    </row>
    <row r="86">
      <c r="A86" s="9" t="inlineStr">
        <is>
          <t>ORDH-01</t>
        </is>
      </c>
      <c r="B86" s="10" t="inlineStr">
        <is>
          <t>Заказы</t>
        </is>
      </c>
      <c r="C86" s="10" t="inlineStr">
        <is>
          <t>Список заказов</t>
        </is>
      </c>
      <c r="D86" s="10" t="inlineStr">
        <is>
          <t>Пользователь авторизован</t>
        </is>
      </c>
      <c r="E86" s="10" t="inlineStr">
        <is>
          <t>1. Profile → «Buyurtmalar».
2. Переключить вкладки «Faol» / «Tugallangan».</t>
        </is>
      </c>
      <c r="F86" s="10" t="inlineStr">
        <is>
          <t>Карточки: фото, «Buyurtma raqami» TEZxxxxx, статус (Yetkazib berilmoqda / Yetkazib berildi / Bekor qilindi), дата, сумма.</t>
        </is>
      </c>
      <c r="G86" s="9" t="inlineStr">
        <is>
          <t>P0</t>
        </is>
      </c>
      <c r="H86" s="9" t="inlineStr">
        <is>
          <t>+</t>
        </is>
      </c>
      <c r="I86" s="9" t="inlineStr">
        <is>
          <t>Smoke</t>
        </is>
      </c>
      <c r="J86" s="9" t="inlineStr">
        <is>
          <t>Безопасно</t>
        </is>
      </c>
      <c r="K86" s="9" t="inlineStr">
        <is>
          <t>ORDH-01</t>
        </is>
      </c>
      <c r="L86" s="10" t="inlineStr"/>
    </row>
    <row r="87">
      <c r="A87" s="9" t="inlineStr">
        <is>
          <t>ORDH-02</t>
        </is>
      </c>
      <c r="B87" s="10" t="inlineStr">
        <is>
          <t>Заказы</t>
        </is>
      </c>
      <c r="C87" s="10" t="inlineStr">
        <is>
          <t>Детали активного заказа</t>
        </is>
      </c>
      <c r="D87" s="10" t="inlineStr">
        <is>
          <t>Есть активный заказ</t>
        </is>
      </c>
      <c r="E87" s="10" t="inlineStr">
        <is>
          <t>1. Открыть активный заказ.</t>
        </is>
      </c>
      <c r="F87" s="10" t="inlineStr">
        <is>
          <t>Заголовок статуса, степпер из 4 этапов, блоки: курьер + «Qo'ng'iroq», адрес, «Buyurtmangiz» + «Ko'rish», способ оплаты, «Umumiy qiymati». Кнопка «Yordam».</t>
        </is>
      </c>
      <c r="G87" s="9" t="inlineStr">
        <is>
          <t>P1</t>
        </is>
      </c>
      <c r="H87" s="9" t="inlineStr">
        <is>
          <t>+</t>
        </is>
      </c>
      <c r="I87" s="9" t="inlineStr">
        <is>
          <t>Sanity</t>
        </is>
      </c>
      <c r="J87" s="9" t="inlineStr">
        <is>
          <t>Безопасно</t>
        </is>
      </c>
      <c r="K87" s="9" t="inlineStr">
        <is>
          <t>ORDH-02</t>
        </is>
      </c>
      <c r="L87" s="10" t="inlineStr"/>
    </row>
    <row r="88">
      <c r="A88" s="9" t="inlineStr">
        <is>
          <t>ORDH-03</t>
        </is>
      </c>
      <c r="B88" s="10" t="inlineStr">
        <is>
          <t>Заказы</t>
        </is>
      </c>
      <c r="C88" s="10" t="inlineStr">
        <is>
          <t>Итоговая сумма заказа</t>
        </is>
      </c>
      <c r="D88" s="10" t="inlineStr">
        <is>
          <t>Любой заказ с доставкой</t>
        </is>
      </c>
      <c r="E88" s="10" t="inlineStr">
        <is>
          <t>1. Открыть детали заказа.
2. Сравнить «Mahsulotlar uchun», «Yetkazib berish», «Jami».
3. Сравнить с суммой в списке заказов.</t>
        </is>
      </c>
      <c r="F88" s="10" t="inlineStr">
        <is>
          <t>Пока доставка бесплатная (подтверждено владельцем 2026-10-02): Jami = Mahsulotlar uchun, стоимость доставки в итог не входит. Сумма в списке совпадает с Jami. Если доставку сделают платной — Jami = товары + доставка.</t>
        </is>
      </c>
      <c r="G88" s="9" t="inlineStr">
        <is>
          <t>P0</t>
        </is>
      </c>
      <c r="H88" s="9" t="inlineStr">
        <is>
          <t>±</t>
        </is>
      </c>
      <c r="I88" s="9" t="inlineStr">
        <is>
          <t>Sanity</t>
        </is>
      </c>
      <c r="J88" s="9" t="inlineStr">
        <is>
          <t>Безопасно</t>
        </is>
      </c>
      <c r="K88" s="9" t="inlineStr"/>
      <c r="L88" s="10" t="inlineStr">
        <is>
          <t>BUG-001 закрыт как «Не баг»; вопрос Q-09 — как показывать бесплатную доставку</t>
        </is>
      </c>
    </row>
    <row r="89">
      <c r="A89" s="9" t="inlineStr">
        <is>
          <t>ORDH-04</t>
        </is>
      </c>
      <c r="B89" s="10" t="inlineStr">
        <is>
          <t>Заказы</t>
        </is>
      </c>
      <c r="C89" s="10" t="inlineStr">
        <is>
          <t>Состав заказа «Ko'rish»</t>
        </is>
      </c>
      <c r="D89" s="10" t="inlineStr">
        <is>
          <t>Открыты детали заказа</t>
        </is>
      </c>
      <c r="E89" s="10" t="inlineStr">
        <is>
          <t>1. Нажать «Ko'rish».</t>
        </is>
      </c>
      <c r="F89" s="10" t="inlineStr">
        <is>
          <t>Товары (кол-во × цена), Umumiy qiymati, доставка, получатель, «Aloqa uchun» с кнопкой звонка. Телефоны в едином формате.</t>
        </is>
      </c>
      <c r="G89" s="9" t="inlineStr">
        <is>
          <t>P2</t>
        </is>
      </c>
      <c r="H89" s="9" t="inlineStr">
        <is>
          <t>+</t>
        </is>
      </c>
      <c r="I89" s="9" t="inlineStr">
        <is>
          <t>Regression</t>
        </is>
      </c>
      <c r="J89" s="9" t="inlineStr">
        <is>
          <t>Безопасно</t>
        </is>
      </c>
      <c r="K89" s="9" t="inlineStr"/>
      <c r="L89" s="10" t="inlineStr">
        <is>
          <t>BUG-014</t>
        </is>
      </c>
    </row>
    <row r="90">
      <c r="A90" s="9" t="inlineStr">
        <is>
          <t>ORDH-05</t>
        </is>
      </c>
      <c r="B90" s="10" t="inlineStr">
        <is>
          <t>Заказы</t>
        </is>
      </c>
      <c r="C90" s="10" t="inlineStr">
        <is>
          <t>Завершённый заказ</t>
        </is>
      </c>
      <c r="D90" s="10" t="inlineStr">
        <is>
          <t>Есть доставленный заказ</t>
        </is>
      </c>
      <c r="E90" s="10" t="inlineStr">
        <is>
          <t>1. Вкладка «Tugallangan» → открыть заказ.</t>
        </is>
      </c>
      <c r="F90" s="10" t="inlineStr">
        <is>
          <t>«Buyurtma yetkazildi», все этапы степпера зелёные, блок «Yetkazish qanday o'tdi?» (5 звёзд), «Muammo haqida xabar berish».</t>
        </is>
      </c>
      <c r="G90" s="9" t="inlineStr">
        <is>
          <t>P1</t>
        </is>
      </c>
      <c r="H90" s="9" t="inlineStr">
        <is>
          <t>+</t>
        </is>
      </c>
      <c r="I90" s="9" t="inlineStr">
        <is>
          <t>Regression</t>
        </is>
      </c>
      <c r="J90" s="9" t="inlineStr">
        <is>
          <t>Безопасно</t>
        </is>
      </c>
      <c r="K90" s="9" t="inlineStr"/>
      <c r="L90" s="10" t="inlineStr"/>
    </row>
    <row r="91">
      <c r="A91" s="9" t="inlineStr">
        <is>
          <t>ORDH-06</t>
        </is>
      </c>
      <c r="B91" s="10" t="inlineStr">
        <is>
          <t>Заказы</t>
        </is>
      </c>
      <c r="C91" s="10" t="inlineStr">
        <is>
          <t>Оценка доставки</t>
        </is>
      </c>
      <c r="D91" s="10" t="inlineStr">
        <is>
          <t>Доставленный заказ без оценки</t>
        </is>
      </c>
      <c r="E91" s="10" t="inlineStr">
        <is>
          <t>1. Поставить 4 звезды.
2. Выйти и открыть заказ снова.</t>
        </is>
      </c>
      <c r="F91" s="10" t="inlineStr">
        <is>
          <t>Оценка сохранена, повторно не запрашивается (или показана поставленная).</t>
        </is>
      </c>
      <c r="G91" s="9" t="inlineStr">
        <is>
          <t>P2</t>
        </is>
      </c>
      <c r="H91" s="9" t="inlineStr">
        <is>
          <t>+</t>
        </is>
      </c>
      <c r="I91" s="9" t="inlineStr">
        <is>
          <t>Regression</t>
        </is>
      </c>
      <c r="J91" s="9" t="inlineStr">
        <is>
          <t>Меняет данные</t>
        </is>
      </c>
      <c r="K91" s="9" t="inlineStr"/>
      <c r="L91" s="10" t="inlineStr">
        <is>
          <t>Оценка необратима</t>
        </is>
      </c>
    </row>
    <row r="92">
      <c r="A92" s="9" t="inlineStr">
        <is>
          <t>ORDH-07</t>
        </is>
      </c>
      <c r="B92" s="10" t="inlineStr">
        <is>
          <t>Заказы</t>
        </is>
      </c>
      <c r="C92" s="10" t="inlineStr">
        <is>
          <t>Связь с поддержкой из заказа</t>
        </is>
      </c>
      <c r="D92" s="10" t="inlineStr">
        <is>
          <t>Открыт заказ</t>
        </is>
      </c>
      <c r="E92" s="10" t="inlineStr">
        <is>
          <t>1. «Muammo haqida xabar berish».
2. Вернуться, нажать «Yordam».</t>
        </is>
      </c>
      <c r="F92" s="10" t="inlineStr">
        <is>
          <t>Открывается Telegram-бот поддержки (t.me/tezchakana_supportbot).</t>
        </is>
      </c>
      <c r="G92" s="9" t="inlineStr">
        <is>
          <t>P2</t>
        </is>
      </c>
      <c r="H92" s="9" t="inlineStr">
        <is>
          <t>+</t>
        </is>
      </c>
      <c r="I92" s="9" t="inlineStr">
        <is>
          <t>Regression</t>
        </is>
      </c>
      <c r="J92" s="9" t="inlineStr">
        <is>
          <t>Безопасно</t>
        </is>
      </c>
      <c r="K92" s="9" t="inlineStr"/>
      <c r="L92" s="10" t="inlineStr"/>
    </row>
    <row r="93">
      <c r="A93" s="9" t="inlineStr">
        <is>
          <t>ORDH-08</t>
        </is>
      </c>
      <c r="B93" s="10" t="inlineStr">
        <is>
          <t>Заказы</t>
        </is>
      </c>
      <c r="C93" s="10" t="inlineStr">
        <is>
          <t>Когда можно отменить заказ</t>
        </is>
      </c>
      <c r="D93" s="10" t="inlineStr">
        <is>
          <t>Заказы на разных статусах</t>
        </is>
      </c>
      <c r="E93" s="10" t="inlineStr">
        <is>
          <t>1. Открыть заказ на ранней стадии (подтверждён).
2. Открыть заказ «в пути».</t>
        </is>
      </c>
      <c r="F93" s="10" t="inlineStr">
        <is>
          <t>Отмена доступна, пока магазин не начал обработку (см. FAQ), и недоступна позже.</t>
        </is>
      </c>
      <c r="G93" s="9" t="inlineStr">
        <is>
          <t>P1</t>
        </is>
      </c>
      <c r="H93" s="9" t="inlineStr">
        <is>
          <t>±</t>
        </is>
      </c>
      <c r="I93" s="9" t="inlineStr">
        <is>
          <t>Regression</t>
        </is>
      </c>
      <c r="J93" s="9" t="inlineStr">
        <is>
          <t>Безопасно</t>
        </is>
      </c>
      <c r="K93" s="9" t="inlineStr">
        <is>
          <t>ORDH-03</t>
        </is>
      </c>
      <c r="L93" s="10" t="inlineStr">
        <is>
          <t>Проверять без подтверждения отмены</t>
        </is>
      </c>
    </row>
    <row r="94">
      <c r="A94" s="9" t="inlineStr">
        <is>
          <t>ORDH-09</t>
        </is>
      </c>
      <c r="B94" s="10" t="inlineStr">
        <is>
          <t>Заказы</t>
        </is>
      </c>
      <c r="C94" s="10" t="inlineStr">
        <is>
          <t>Отказ от отмены</t>
        </is>
      </c>
      <c r="D94" s="10" t="inlineStr">
        <is>
          <t>Заказ, который можно отменить</t>
        </is>
      </c>
      <c r="E94" s="10" t="inlineStr">
        <is>
          <t>1. Нажать отмену.
2. В диалоге нажать «Yo'q».</t>
        </is>
      </c>
      <c r="F94" s="10" t="inlineStr">
        <is>
          <t>Диалог закрывается, заказ не отменён.</t>
        </is>
      </c>
      <c r="G94" s="9" t="inlineStr">
        <is>
          <t>P1</t>
        </is>
      </c>
      <c r="H94" s="9" t="inlineStr">
        <is>
          <t>−</t>
        </is>
      </c>
      <c r="I94" s="9" t="inlineStr">
        <is>
          <t>Regression</t>
        </is>
      </c>
      <c r="J94" s="9" t="inlineStr">
        <is>
          <t>Безопасно</t>
        </is>
      </c>
      <c r="K94" s="9" t="inlineStr">
        <is>
          <t>ORDH-04</t>
        </is>
      </c>
      <c r="L94" s="10" t="inlineStr"/>
    </row>
    <row r="95">
      <c r="A95" s="9" t="inlineStr">
        <is>
          <t>ORDH-10</t>
        </is>
      </c>
      <c r="B95" s="10" t="inlineStr">
        <is>
          <t>Заказы</t>
        </is>
      </c>
      <c r="C95" s="10" t="inlineStr">
        <is>
          <t>Обновление статуса в реальном времени</t>
        </is>
      </c>
      <c r="D95" s="10" t="inlineStr">
        <is>
          <t>Активный заказ (ORD-01 до отмены или реальная доставка)</t>
        </is>
      </c>
      <c r="E95" s="10" t="inlineStr">
        <is>
          <t>1. Держать открытыми детали заказа.
2. Дождаться смены статуса.</t>
        </is>
      </c>
      <c r="F95" s="10" t="inlineStr">
        <is>
          <t>Статус и степпер обновляются без перезахода, приходит соответствующее уведомление.</t>
        </is>
      </c>
      <c r="G95" s="9" t="inlineStr">
        <is>
          <t>P1</t>
        </is>
      </c>
      <c r="H95" s="9" t="inlineStr">
        <is>
          <t>+</t>
        </is>
      </c>
      <c r="I95" s="9" t="inlineStr">
        <is>
          <t>Regression</t>
        </is>
      </c>
      <c r="J95" s="9" t="inlineStr">
        <is>
          <t>Безопасно</t>
        </is>
      </c>
      <c r="K95" s="9" t="inlineStr"/>
      <c r="L95" s="10" t="inlineStr"/>
    </row>
    <row r="96">
      <c r="A96" s="9" t="inlineStr">
        <is>
          <t>ORDH-11</t>
        </is>
      </c>
      <c r="B96" s="10" t="inlineStr">
        <is>
          <t>Заказы</t>
        </is>
      </c>
      <c r="C96" s="10" t="inlineStr">
        <is>
          <t>Звонок курьеру</t>
        </is>
      </c>
      <c r="D96" s="10" t="inlineStr">
        <is>
          <t>Открыт активный заказ</t>
        </is>
      </c>
      <c r="E96" s="10" t="inlineStr">
        <is>
          <t>1. Нажать «Qo'ng'iroq».</t>
        </is>
      </c>
      <c r="F96" s="10" t="inlineStr">
        <is>
          <t>Открывается звонилка с номером курьера (не звонить).</t>
        </is>
      </c>
      <c r="G96" s="9" t="inlineStr">
        <is>
          <t>P2</t>
        </is>
      </c>
      <c r="H96" s="9" t="inlineStr">
        <is>
          <t>+</t>
        </is>
      </c>
      <c r="I96" s="9" t="inlineStr">
        <is>
          <t>Regression</t>
        </is>
      </c>
      <c r="J96" s="9" t="inlineStr">
        <is>
          <t>Безопасно</t>
        </is>
      </c>
      <c r="K96" s="9" t="inlineStr"/>
      <c r="L96" s="10" t="inlineStr"/>
    </row>
    <row r="97">
      <c r="A97" s="9" t="inlineStr">
        <is>
          <t>ORDH-12</t>
        </is>
      </c>
      <c r="B97" s="10" t="inlineStr">
        <is>
          <t>Заказы</t>
        </is>
      </c>
      <c r="C97" s="10" t="inlineStr">
        <is>
          <t>Устаревший статус «Kuryer kechikmoqda»</t>
        </is>
      </c>
      <c r="D97" s="10" t="inlineStr">
        <is>
          <t>Заказ со статусом опоздания, время доставки прошло</t>
        </is>
      </c>
      <c r="E97" s="10" t="inlineStr">
        <is>
          <t>1. Открыть заказ спустя сутки.</t>
        </is>
      </c>
      <c r="F97" s="10" t="inlineStr">
        <is>
          <t>Статус актуален (не «в пути» сутки спустя); понятно, что делать клиенту.</t>
        </is>
      </c>
      <c r="G97" s="9" t="inlineStr">
        <is>
          <t>P2</t>
        </is>
      </c>
      <c r="H97" s="9" t="inlineStr">
        <is>
          <t>−</t>
        </is>
      </c>
      <c r="I97" s="9" t="inlineStr">
        <is>
          <t>Regression</t>
        </is>
      </c>
      <c r="J97" s="9" t="inlineStr">
        <is>
          <t>Безопасно</t>
        </is>
      </c>
      <c r="K97" s="9" t="inlineStr"/>
      <c r="L97" s="10" t="inlineStr">
        <is>
          <t>Q-04: TEZ00789</t>
        </is>
      </c>
    </row>
    <row r="98">
      <c r="A98" s="9" t="inlineStr">
        <is>
          <t>NOTIF-01</t>
        </is>
      </c>
      <c r="B98" s="10" t="inlineStr">
        <is>
          <t>Уведомления</t>
        </is>
      </c>
      <c r="C98" s="10" t="inlineStr">
        <is>
          <t>Список уведомлений</t>
        </is>
      </c>
      <c r="D98" s="10" t="inlineStr">
        <is>
          <t>Пользователь авторизован</t>
        </is>
      </c>
      <c r="E98" s="10" t="inlineStr">
        <is>
          <t>1. Profile → «Xabarnomalar».</t>
        </is>
      </c>
      <c r="F98" s="10" t="inlineStr">
        <is>
          <t>Карточки: иконка, заголовок, текст, дата • время, новые сверху, непрочитанные выделены.</t>
        </is>
      </c>
      <c r="G98" s="9" t="inlineStr">
        <is>
          <t>P1</t>
        </is>
      </c>
      <c r="H98" s="9" t="inlineStr">
        <is>
          <t>+</t>
        </is>
      </c>
      <c r="I98" s="9" t="inlineStr">
        <is>
          <t>Sanity</t>
        </is>
      </c>
      <c r="J98" s="9" t="inlineStr">
        <is>
          <t>Безопасно</t>
        </is>
      </c>
      <c r="K98" s="9" t="inlineStr">
        <is>
          <t>NOTIF-01</t>
        </is>
      </c>
      <c r="L98" s="10" t="inlineStr"/>
    </row>
    <row r="99">
      <c r="A99" s="9" t="inlineStr">
        <is>
          <t>NOTIF-02</t>
        </is>
      </c>
      <c r="B99" s="10" t="inlineStr">
        <is>
          <t>Уведомления</t>
        </is>
      </c>
      <c r="C99" s="10" t="inlineStr">
        <is>
          <t>Открытие уведомления</t>
        </is>
      </c>
      <c r="D99" s="10" t="inlineStr">
        <is>
          <t>Есть непрочитанное уведомление</t>
        </is>
      </c>
      <c r="E99" s="10" t="inlineStr">
        <is>
          <t>1. Нажать на уведомление.
2. Вернуться назад.</t>
        </is>
      </c>
      <c r="F99" s="10" t="inlineStr">
        <is>
          <t>Открывается полный текст; после возврата уведомление отмечено прочитанным. В идеале — ссылка на заказ.</t>
        </is>
      </c>
      <c r="G99" s="9" t="inlineStr">
        <is>
          <t>P2</t>
        </is>
      </c>
      <c r="H99" s="9" t="inlineStr">
        <is>
          <t>+</t>
        </is>
      </c>
      <c r="I99" s="9" t="inlineStr">
        <is>
          <t>Regression</t>
        </is>
      </c>
      <c r="J99" s="9" t="inlineStr">
        <is>
          <t>Меняет данные</t>
        </is>
      </c>
      <c r="K99" s="9" t="inlineStr"/>
      <c r="L99" s="10" t="inlineStr">
        <is>
          <t>BUG-015</t>
        </is>
      </c>
    </row>
    <row r="100">
      <c r="A100" s="9" t="inlineStr">
        <is>
          <t>NOTIF-03</t>
        </is>
      </c>
      <c r="B100" s="10" t="inlineStr">
        <is>
          <t>Уведомления</t>
        </is>
      </c>
      <c r="C100" s="10" t="inlineStr">
        <is>
          <t>Прочитать все</t>
        </is>
      </c>
      <c r="D100" s="10" t="inlineStr">
        <is>
          <t>Есть непрочитанные</t>
        </is>
      </c>
      <c r="E100" s="10" t="inlineStr">
        <is>
          <t>1. Нажать ✓✓ в правом верхнем углу.</t>
        </is>
      </c>
      <c r="F100" s="10" t="inlineStr">
        <is>
          <t>Все уведомления отмечены прочитанными.</t>
        </is>
      </c>
      <c r="G100" s="9" t="inlineStr">
        <is>
          <t>P2</t>
        </is>
      </c>
      <c r="H100" s="9" t="inlineStr">
        <is>
          <t>+</t>
        </is>
      </c>
      <c r="I100" s="9" t="inlineStr">
        <is>
          <t>Regression</t>
        </is>
      </c>
      <c r="J100" s="9" t="inlineStr">
        <is>
          <t>Меняет данные</t>
        </is>
      </c>
      <c r="K100" s="9" t="inlineStr"/>
      <c r="L100" s="10" t="inlineStr"/>
    </row>
    <row r="101">
      <c r="A101" s="9" t="inlineStr">
        <is>
          <t>NOTIF-04</t>
        </is>
      </c>
      <c r="B101" s="10" t="inlineStr">
        <is>
          <t>Уведомления</t>
        </is>
      </c>
      <c r="C101" s="10" t="inlineStr">
        <is>
          <t>Push о смене статуса заказа</t>
        </is>
      </c>
      <c r="D101" s="10" t="inlineStr">
        <is>
          <t>Уведомления разрешены; активный заказ</t>
        </is>
      </c>
      <c r="E101" s="10" t="inlineStr">
        <is>
          <t>1. Свернуть приложение.
2. Дождаться смены статуса.
3. Нажать на push.</t>
        </is>
      </c>
      <c r="F101" s="10" t="inlineStr">
        <is>
          <t>Push приходит с корректным текстом, тап открывает приложение (в идеале — заказ).</t>
        </is>
      </c>
      <c r="G101" s="9" t="inlineStr">
        <is>
          <t>P1</t>
        </is>
      </c>
      <c r="H101" s="9" t="inlineStr">
        <is>
          <t>+</t>
        </is>
      </c>
      <c r="I101" s="9" t="inlineStr">
        <is>
          <t>Regression</t>
        </is>
      </c>
      <c r="J101" s="9" t="inlineStr">
        <is>
          <t>Безопасно</t>
        </is>
      </c>
      <c r="K101" s="9" t="inlineStr"/>
      <c r="L101" s="10" t="inlineStr"/>
    </row>
    <row r="102">
      <c r="A102" s="9" t="inlineStr">
        <is>
          <t>PROF-01</t>
        </is>
      </c>
      <c r="B102" s="10" t="inlineStr">
        <is>
          <t>Профиль</t>
        </is>
      </c>
      <c r="C102" s="10" t="inlineStr">
        <is>
          <t>Экран профиля</t>
        </is>
      </c>
      <c r="D102" s="10" t="inlineStr">
        <is>
          <t>Пользователь авторизован</t>
        </is>
      </c>
      <c r="E102" s="10" t="inlineStr">
        <is>
          <t>1. Открыть вкладку Profile.</t>
        </is>
      </c>
      <c r="F102" s="10" t="inlineStr">
        <is>
          <t>Аватар, имя, карточка активного заказа (если есть), плитки «Buyurtmalar N», «Sevimlilar N», «Yordam», меню (Mening tafsilotlarim, Manzillar, Mening kartalarim, Xabarnomalar, Sozlamalar), «Hisobdan chiqish».</t>
        </is>
      </c>
      <c r="G102" s="9" t="inlineStr">
        <is>
          <t>P0</t>
        </is>
      </c>
      <c r="H102" s="9" t="inlineStr">
        <is>
          <t>+</t>
        </is>
      </c>
      <c r="I102" s="9" t="inlineStr">
        <is>
          <t>Smoke</t>
        </is>
      </c>
      <c r="J102" s="9" t="inlineStr">
        <is>
          <t>Безопасно</t>
        </is>
      </c>
      <c r="K102" s="9" t="inlineStr">
        <is>
          <t>PROF-A01</t>
        </is>
      </c>
      <c r="L102" s="10" t="inlineStr"/>
    </row>
    <row r="103">
      <c r="A103" s="9" t="inlineStr">
        <is>
          <t>PROF-02</t>
        </is>
      </c>
      <c r="B103" s="10" t="inlineStr">
        <is>
          <t>Профиль</t>
        </is>
      </c>
      <c r="C103" s="10" t="inlineStr">
        <is>
          <t>Счётчики профиля</t>
        </is>
      </c>
      <c r="D103" s="10" t="inlineStr">
        <is>
          <t>Пользователь авторизован</t>
        </is>
      </c>
      <c r="E103" s="10" t="inlineStr">
        <is>
          <t>1. Сравнить «Buyurtmalar N» и «Sevimlilar N» с фактическим числом записей в списках.</t>
        </is>
      </c>
      <c r="F103" s="10" t="inlineStr">
        <is>
          <t>Числа совпадают и не «прыгают» при повторном открытии.</t>
        </is>
      </c>
      <c r="G103" s="9" t="inlineStr">
        <is>
          <t>P2</t>
        </is>
      </c>
      <c r="H103" s="9" t="inlineStr">
        <is>
          <t>±</t>
        </is>
      </c>
      <c r="I103" s="9" t="inlineStr">
        <is>
          <t>Regression</t>
        </is>
      </c>
      <c r="J103" s="9" t="inlineStr">
        <is>
          <t>Безопасно</t>
        </is>
      </c>
      <c r="K103" s="9" t="inlineStr"/>
      <c r="L103" s="10" t="inlineStr">
        <is>
          <t>BUG-011</t>
        </is>
      </c>
    </row>
    <row r="104">
      <c r="A104" s="9" t="inlineStr">
        <is>
          <t>PROF-03</t>
        </is>
      </c>
      <c r="B104" s="10" t="inlineStr">
        <is>
          <t>Профиль</t>
        </is>
      </c>
      <c r="C104" s="10" t="inlineStr">
        <is>
          <t>Карточка активного заказа в профиле</t>
        </is>
      </c>
      <c r="D104" s="10" t="inlineStr">
        <is>
          <t>Есть активный заказ</t>
        </is>
      </c>
      <c r="E104" s="10" t="inlineStr">
        <is>
          <t>1. Нажать карточку заказа в профиле.</t>
        </is>
      </c>
      <c r="F104" s="10" t="inlineStr">
        <is>
          <t>Открываются детали этого заказа.</t>
        </is>
      </c>
      <c r="G104" s="9" t="inlineStr">
        <is>
          <t>P2</t>
        </is>
      </c>
      <c r="H104" s="9" t="inlineStr">
        <is>
          <t>+</t>
        </is>
      </c>
      <c r="I104" s="9" t="inlineStr">
        <is>
          <t>Regression</t>
        </is>
      </c>
      <c r="J104" s="9" t="inlineStr">
        <is>
          <t>Безопасно</t>
        </is>
      </c>
      <c r="K104" s="9" t="inlineStr"/>
      <c r="L104" s="10" t="inlineStr"/>
    </row>
    <row r="105">
      <c r="A105" s="9" t="inlineStr">
        <is>
          <t>PROF-04</t>
        </is>
      </c>
      <c r="B105" s="10" t="inlineStr">
        <is>
          <t>Профиль</t>
        </is>
      </c>
      <c r="C105" s="10" t="inlineStr">
        <is>
          <t>«Yordam» в профиле</t>
        </is>
      </c>
      <c r="D105" s="10" t="inlineStr">
        <is>
          <t>Пользователь авторизован</t>
        </is>
      </c>
      <c r="E105" s="10" t="inlineStr">
        <is>
          <t>1. Нажать «Yordam».</t>
        </is>
      </c>
      <c r="F105" s="10" t="inlineStr">
        <is>
          <t>Открывается поддержка (Telegram-бот или экран помощи).</t>
        </is>
      </c>
      <c r="G105" s="9" t="inlineStr">
        <is>
          <t>P2</t>
        </is>
      </c>
      <c r="H105" s="9" t="inlineStr">
        <is>
          <t>+</t>
        </is>
      </c>
      <c r="I105" s="9" t="inlineStr">
        <is>
          <t>Regression</t>
        </is>
      </c>
      <c r="J105" s="9" t="inlineStr">
        <is>
          <t>Безопасно</t>
        </is>
      </c>
      <c r="K105" s="9" t="inlineStr">
        <is>
          <t>PROF-A03</t>
        </is>
      </c>
      <c r="L105" s="10" t="inlineStr"/>
    </row>
    <row r="106">
      <c r="A106" s="9" t="inlineStr">
        <is>
          <t>DET-01</t>
        </is>
      </c>
      <c r="B106" s="10" t="inlineStr">
        <is>
          <t>Мои данные</t>
        </is>
      </c>
      <c r="C106" s="10" t="inlineStr">
        <is>
          <t>Экран «Mening tafsilotlarim»</t>
        </is>
      </c>
      <c r="D106" s="10" t="inlineStr">
        <is>
          <t>Пользователь авторизован</t>
        </is>
      </c>
      <c r="E106" s="10" t="inlineStr">
        <is>
          <t>1. Profile → «Mening tafsilotlarim».</t>
        </is>
      </c>
      <c r="F106" s="10" t="inlineStr">
        <is>
          <t>Аватар с «+», Ism, Telefon raqami (не редактируется), E-mail, «Instagram qo'shish», «Telegram qo'shish», «Hisobni o'chirish», «Saqlash» неактивна без изменений.</t>
        </is>
      </c>
      <c r="G106" s="9" t="inlineStr">
        <is>
          <t>P1</t>
        </is>
      </c>
      <c r="H106" s="9" t="inlineStr">
        <is>
          <t>+</t>
        </is>
      </c>
      <c r="I106" s="9" t="inlineStr">
        <is>
          <t>Sanity</t>
        </is>
      </c>
      <c r="J106" s="9" t="inlineStr">
        <is>
          <t>Безопасно</t>
        </is>
      </c>
      <c r="K106" s="9" t="inlineStr">
        <is>
          <t>DET-01</t>
        </is>
      </c>
      <c r="L106" s="10" t="inlineStr"/>
    </row>
    <row r="107">
      <c r="A107" s="9" t="inlineStr">
        <is>
          <t>DET-02</t>
        </is>
      </c>
      <c r="B107" s="10" t="inlineStr">
        <is>
          <t>Мои данные</t>
        </is>
      </c>
      <c r="C107" s="10" t="inlineStr">
        <is>
          <t>Изменение имени</t>
        </is>
      </c>
      <c r="D107" s="10" t="inlineStr">
        <is>
          <t>Открыт экран данных</t>
        </is>
      </c>
      <c r="E107" s="10" t="inlineStr">
        <is>
          <t>1. Изменить имя → «Saqlash».
2. Проверить профиль.
3. Вернуть имя.</t>
        </is>
      </c>
      <c r="F107" s="10" t="inlineStr">
        <is>
          <t>«Saqlash» активируется после правки, новое имя в профиле.</t>
        </is>
      </c>
      <c r="G107" s="9" t="inlineStr">
        <is>
          <t>P1</t>
        </is>
      </c>
      <c r="H107" s="9" t="inlineStr">
        <is>
          <t>+</t>
        </is>
      </c>
      <c r="I107" s="9" t="inlineStr">
        <is>
          <t>Regression</t>
        </is>
      </c>
      <c r="J107" s="9" t="inlineStr">
        <is>
          <t>Меняет данные</t>
        </is>
      </c>
      <c r="K107" s="9" t="inlineStr">
        <is>
          <t>DET-02</t>
        </is>
      </c>
      <c r="L107" s="10" t="inlineStr"/>
    </row>
    <row r="108">
      <c r="A108" s="9" t="inlineStr">
        <is>
          <t>DET-03</t>
        </is>
      </c>
      <c r="B108" s="10" t="inlineStr">
        <is>
          <t>Мои данные</t>
        </is>
      </c>
      <c r="C108" s="10" t="inlineStr">
        <is>
          <t>Сохранение e-mail</t>
        </is>
      </c>
      <c r="D108" s="10" t="inlineStr">
        <is>
          <t>Открыт экран данных, e-mail пуст</t>
        </is>
      </c>
      <c r="E108" s="10" t="inlineStr">
        <is>
          <t>1. Ввести «name@test.uz».
2. Нажать «Saqlash».</t>
        </is>
      </c>
      <c r="F108" s="10" t="inlineStr">
        <is>
          <t>«Saqlash» активна, e-mail сохраняется и отображается после повторного входа на экран.</t>
        </is>
      </c>
      <c r="G108" s="9" t="inlineStr">
        <is>
          <t>P1</t>
        </is>
      </c>
      <c r="H108" s="9" t="inlineStr">
        <is>
          <t>+</t>
        </is>
      </c>
      <c r="I108" s="9" t="inlineStr">
        <is>
          <t>Regression</t>
        </is>
      </c>
      <c r="J108" s="9" t="inlineStr">
        <is>
          <t>Меняет данные</t>
        </is>
      </c>
      <c r="K108" s="9" t="inlineStr"/>
      <c r="L108" s="10" t="inlineStr">
        <is>
          <t>BUG-006. После теста очистить e-mail</t>
        </is>
      </c>
    </row>
    <row r="109">
      <c r="A109" s="9" t="inlineStr">
        <is>
          <t>DET-04</t>
        </is>
      </c>
      <c r="B109" s="10" t="inlineStr">
        <is>
          <t>Мои данные</t>
        </is>
      </c>
      <c r="C109" s="10" t="inlineStr">
        <is>
          <t>Некорректный e-mail</t>
        </is>
      </c>
      <c r="D109" s="10" t="inlineStr">
        <is>
          <t>Открыт экран данных</t>
        </is>
      </c>
      <c r="E109" s="10" t="inlineStr">
        <is>
          <t>1. Ввести «abc».</t>
        </is>
      </c>
      <c r="F109" s="10" t="inlineStr">
        <is>
          <t>Под полем понятная ошибка формата, сохранить нельзя.</t>
        </is>
      </c>
      <c r="G109" s="9" t="inlineStr">
        <is>
          <t>P2</t>
        </is>
      </c>
      <c r="H109" s="9" t="inlineStr">
        <is>
          <t>−</t>
        </is>
      </c>
      <c r="I109" s="9" t="inlineStr">
        <is>
          <t>Regression</t>
        </is>
      </c>
      <c r="J109" s="9" t="inlineStr">
        <is>
          <t>Безопасно</t>
        </is>
      </c>
      <c r="K109" s="9" t="inlineStr"/>
      <c r="L109" s="10" t="inlineStr"/>
    </row>
    <row r="110">
      <c r="A110" s="9" t="inlineStr">
        <is>
          <t>DET-05</t>
        </is>
      </c>
      <c r="B110" s="10" t="inlineStr">
        <is>
          <t>Мои данные</t>
        </is>
      </c>
      <c r="C110" s="10" t="inlineStr">
        <is>
          <t>Ссылки Instagram / Telegram</t>
        </is>
      </c>
      <c r="D110" s="10" t="inlineStr">
        <is>
          <t>Открыт экран данных</t>
        </is>
      </c>
      <c r="E110" s="10" t="inlineStr">
        <is>
          <t>1. «+» у Instagram.
2. Проверить «Tasdiqlash» при пустом поле.
3. Ввести ссылку → «Tasdiqlash».</t>
        </is>
      </c>
      <c r="F110" s="10" t="inlineStr">
        <is>
          <t>Шторка «Havolani kiritish», «Tasdiqlash» неактивна при пустом поле. Ссылка сохраняется.</t>
        </is>
      </c>
      <c r="G110" s="9" t="inlineStr">
        <is>
          <t>P2</t>
        </is>
      </c>
      <c r="H110" s="9" t="inlineStr">
        <is>
          <t>+</t>
        </is>
      </c>
      <c r="I110" s="9" t="inlineStr">
        <is>
          <t>Regression</t>
        </is>
      </c>
      <c r="J110" s="9" t="inlineStr">
        <is>
          <t>Меняет данные</t>
        </is>
      </c>
      <c r="K110" s="9" t="inlineStr"/>
      <c r="L110" s="10" t="inlineStr"/>
    </row>
    <row r="111">
      <c r="A111" s="9" t="inlineStr">
        <is>
          <t>DET-06</t>
        </is>
      </c>
      <c r="B111" s="10" t="inlineStr">
        <is>
          <t>Мои данные</t>
        </is>
      </c>
      <c r="C111" s="10" t="inlineStr">
        <is>
          <t>Смена фото профиля</t>
        </is>
      </c>
      <c r="D111" s="10" t="inlineStr">
        <is>
          <t>Открыт экран данных</t>
        </is>
      </c>
      <c r="E111" s="10" t="inlineStr">
        <is>
          <t>1. Нажать «+» на аватаре.
2. Выбрать фото из галереи.
3. Повторить с отказом в доступе к фото.</t>
        </is>
      </c>
      <c r="F111" s="10" t="inlineStr">
        <is>
          <t>Фото обновляется в профиле; при отказе — понятное сообщение, без вылета.</t>
        </is>
      </c>
      <c r="G111" s="9" t="inlineStr">
        <is>
          <t>P2</t>
        </is>
      </c>
      <c r="H111" s="9" t="inlineStr">
        <is>
          <t>±</t>
        </is>
      </c>
      <c r="I111" s="9" t="inlineStr">
        <is>
          <t>Regression</t>
        </is>
      </c>
      <c r="J111" s="9" t="inlineStr">
        <is>
          <t>Меняет данные</t>
        </is>
      </c>
      <c r="K111" s="9" t="inlineStr"/>
      <c r="L111" s="10" t="inlineStr"/>
    </row>
    <row r="112">
      <c r="A112" s="9" t="inlineStr">
        <is>
          <t>DET-07</t>
        </is>
      </c>
      <c r="B112" s="10" t="inlineStr">
        <is>
          <t>Мои данные</t>
        </is>
      </c>
      <c r="C112" s="10" t="inlineStr">
        <is>
          <t>Выход без сохранения</t>
        </is>
      </c>
      <c r="D112" s="10" t="inlineStr">
        <is>
          <t>Открыт экран данных</t>
        </is>
      </c>
      <c r="E112" s="10" t="inlineStr">
        <is>
          <t>1. Изменить поле.
2. Нажать «назад».
3. Открыть экран снова.</t>
        </is>
      </c>
      <c r="F112" s="10" t="inlineStr">
        <is>
          <t>Изменения не сохранены (или было предупреждение о несохранённых изменениях).</t>
        </is>
      </c>
      <c r="G112" s="9" t="inlineStr">
        <is>
          <t>P2</t>
        </is>
      </c>
      <c r="H112" s="9" t="inlineStr">
        <is>
          <t>−</t>
        </is>
      </c>
      <c r="I112" s="9" t="inlineStr">
        <is>
          <t>Regression</t>
        </is>
      </c>
      <c r="J112" s="9" t="inlineStr">
        <is>
          <t>Безопасно</t>
        </is>
      </c>
      <c r="K112" s="9" t="inlineStr"/>
      <c r="L112" s="10" t="inlineStr"/>
    </row>
    <row r="113">
      <c r="A113" s="9" t="inlineStr">
        <is>
          <t>DET-08</t>
        </is>
      </c>
      <c r="B113" s="10" t="inlineStr">
        <is>
          <t>Мои данные</t>
        </is>
      </c>
      <c r="C113" s="10" t="inlineStr">
        <is>
          <t>Удаление аккаунта</t>
        </is>
      </c>
      <c r="D113" s="10" t="inlineStr">
        <is>
          <t>ТОЛЬКО тестовый аккаунт</t>
        </is>
      </c>
      <c r="E113" s="10" t="inlineStr">
        <is>
          <t>1. «Hisobni o'chirish».</t>
        </is>
      </c>
      <c r="F113" s="10" t="inlineStr">
        <is>
          <t>Есть подтверждение с понятным описанием последствий. На основном аккаунте — только открыть диалог и отменить.</t>
        </is>
      </c>
      <c r="G113" s="9" t="inlineStr">
        <is>
          <t>P2</t>
        </is>
      </c>
      <c r="H113" s="9" t="inlineStr">
        <is>
          <t>±</t>
        </is>
      </c>
      <c r="I113" s="9" t="inlineStr">
        <is>
          <t>Regression</t>
        </is>
      </c>
      <c r="J113" s="9" t="inlineStr">
        <is>
          <t>Необратимо</t>
        </is>
      </c>
      <c r="K113" s="9" t="inlineStr">
        <is>
          <t>DET-03</t>
        </is>
      </c>
      <c r="L113" s="10" t="inlineStr">
        <is>
          <t>Не выполнять на личном аккаунте</t>
        </is>
      </c>
    </row>
    <row r="114">
      <c r="A114" s="9" t="inlineStr">
        <is>
          <t>ADDR-01</t>
        </is>
      </c>
      <c r="B114" s="10" t="inlineStr">
        <is>
          <t>Адреса</t>
        </is>
      </c>
      <c r="C114" s="10" t="inlineStr">
        <is>
          <t>Список адресов</t>
        </is>
      </c>
      <c r="D114" s="10" t="inlineStr">
        <is>
          <t>Пользователь авторизован</t>
        </is>
      </c>
      <c r="E114" s="10" t="inlineStr">
        <is>
          <t>1. Profile → «Manzillar».</t>
        </is>
      </c>
      <c r="F114" s="10" t="inlineStr">
        <is>
          <t>Карточки адресов (метка + адрес), кнопка «Manzil qo'shish».</t>
        </is>
      </c>
      <c r="G114" s="9" t="inlineStr">
        <is>
          <t>P1</t>
        </is>
      </c>
      <c r="H114" s="9" t="inlineStr">
        <is>
          <t>+</t>
        </is>
      </c>
      <c r="I114" s="9" t="inlineStr">
        <is>
          <t>Sanity</t>
        </is>
      </c>
      <c r="J114" s="9" t="inlineStr">
        <is>
          <t>Безопасно</t>
        </is>
      </c>
      <c r="K114" s="9" t="inlineStr">
        <is>
          <t>ADDR-01</t>
        </is>
      </c>
      <c r="L114" s="10" t="inlineStr"/>
    </row>
    <row r="115">
      <c r="A115" s="9" t="inlineStr">
        <is>
          <t>ADDR-02</t>
        </is>
      </c>
      <c r="B115" s="10" t="inlineStr">
        <is>
          <t>Адреса</t>
        </is>
      </c>
      <c r="C115" s="10" t="inlineStr">
        <is>
          <t>Один и тот же список адресов везде</t>
        </is>
      </c>
      <c r="D115" s="10" t="inlineStr">
        <is>
          <t>Сохранено 2+ адреса</t>
        </is>
      </c>
      <c r="E115" s="10" t="inlineStr">
        <is>
          <t>1. Сравнить адреса в Profile → Manzillar, в шапке Home и в оформлении заказа.</t>
        </is>
      </c>
      <c r="F115" s="10" t="inlineStr">
        <is>
          <t>Везде один и тот же набор адресов, текущий адрес отмечен.</t>
        </is>
      </c>
      <c r="G115" s="9" t="inlineStr">
        <is>
          <t>P1</t>
        </is>
      </c>
      <c r="H115" s="9" t="inlineStr">
        <is>
          <t>±</t>
        </is>
      </c>
      <c r="I115" s="9" t="inlineStr">
        <is>
          <t>Regression</t>
        </is>
      </c>
      <c r="J115" s="9" t="inlineStr">
        <is>
          <t>Безопасно</t>
        </is>
      </c>
      <c r="K115" s="9" t="inlineStr"/>
      <c r="L115" s="10" t="inlineStr">
        <is>
          <t>BUG-003</t>
        </is>
      </c>
    </row>
    <row r="116">
      <c r="A116" s="9" t="inlineStr">
        <is>
          <t>ADDR-03</t>
        </is>
      </c>
      <c r="B116" s="10" t="inlineStr">
        <is>
          <t>Адреса</t>
        </is>
      </c>
      <c r="C116" s="10" t="inlineStr">
        <is>
          <t>Добавление адреса</t>
        </is>
      </c>
      <c r="D116" s="10" t="inlineStr">
        <is>
          <t>Пользователь авторизован</t>
        </is>
      </c>
      <c r="E116" s="10" t="inlineStr">
        <is>
          <t>1. «Manzil qo'shish».
2. Передвинуть карту, «Tasdiqlash».
3. Заполнить форму → «Saqlash».
4. Удалить добавленный адрес.</t>
        </is>
      </c>
      <c r="F116" s="10" t="inlineStr">
        <is>
          <t>Карта с пином, адрес под пином обновляется. Новый адрес появляется в списке.</t>
        </is>
      </c>
      <c r="G116" s="9" t="inlineStr">
        <is>
          <t>P1</t>
        </is>
      </c>
      <c r="H116" s="9" t="inlineStr">
        <is>
          <t>+</t>
        </is>
      </c>
      <c r="I116" s="9" t="inlineStr">
        <is>
          <t>Regression</t>
        </is>
      </c>
      <c r="J116" s="9" t="inlineStr">
        <is>
          <t>Меняет данные</t>
        </is>
      </c>
      <c r="K116" s="9" t="inlineStr">
        <is>
          <t>ADDR-02</t>
        </is>
      </c>
      <c r="L116" s="10" t="inlineStr">
        <is>
          <t>Ранее тесты плодили дубли адресов — удалять после</t>
        </is>
      </c>
    </row>
    <row r="117">
      <c r="A117" s="9" t="inlineStr">
        <is>
          <t>ADDR-04</t>
        </is>
      </c>
      <c r="B117" s="10" t="inlineStr">
        <is>
          <t>Адреса</t>
        </is>
      </c>
      <c r="C117" s="10" t="inlineStr">
        <is>
          <t>Стабильность карты</t>
        </is>
      </c>
      <c r="D117" s="10" t="inlineStr">
        <is>
          <t>Открыт экран «Manzil qo'shish»</t>
        </is>
      </c>
      <c r="E117" s="10" t="inlineStr">
        <is>
          <t>1. Подождать загрузку карты.
2. Подвигать и позумить 30 секунд.
3. Нажать кнопку геопозиции.</t>
        </is>
      </c>
      <c r="F117" s="10" t="inlineStr">
        <is>
          <t>Карта отрисована, без зависаний и «приложение не отвечает».</t>
        </is>
      </c>
      <c r="G117" s="9" t="inlineStr">
        <is>
          <t>P1</t>
        </is>
      </c>
      <c r="H117" s="9" t="inlineStr">
        <is>
          <t>−</t>
        </is>
      </c>
      <c r="I117" s="9" t="inlineStr">
        <is>
          <t>Regression</t>
        </is>
      </c>
      <c r="J117" s="9" t="inlineStr">
        <is>
          <t>Безопасно</t>
        </is>
      </c>
      <c r="K117" s="9" t="inlineStr"/>
      <c r="L117" s="10" t="inlineStr">
        <is>
          <t>BUG-005 (проверить на реальном телефоне)</t>
        </is>
      </c>
    </row>
    <row r="118">
      <c r="A118" s="9" t="inlineStr">
        <is>
          <t>ADDR-05</t>
        </is>
      </c>
      <c r="B118" s="10" t="inlineStr">
        <is>
          <t>Адреса</t>
        </is>
      </c>
      <c r="C118" s="10" t="inlineStr">
        <is>
          <t>Поиск адреса на карте</t>
        </is>
      </c>
      <c r="D118" s="10" t="inlineStr">
        <is>
          <t>Открыт экран «Manzil qo'shish»</t>
        </is>
      </c>
      <c r="E118" s="10" t="inlineStr">
        <is>
          <t>1. Ввести «chust» в «Qidirish».
2. Выбрать результат.</t>
        </is>
      </c>
      <c r="F118" s="10" t="inlineStr">
        <is>
          <t>Результаты появляются, пин переносится на выбранное место.</t>
        </is>
      </c>
      <c r="G118" s="9" t="inlineStr">
        <is>
          <t>P2</t>
        </is>
      </c>
      <c r="H118" s="9" t="inlineStr">
        <is>
          <t>+</t>
        </is>
      </c>
      <c r="I118" s="9" t="inlineStr">
        <is>
          <t>Regression</t>
        </is>
      </c>
      <c r="J118" s="9" t="inlineStr">
        <is>
          <t>Безопасно</t>
        </is>
      </c>
      <c r="K118" s="9" t="inlineStr"/>
      <c r="L118" s="10" t="inlineStr"/>
    </row>
    <row r="119">
      <c r="A119" s="9" t="inlineStr">
        <is>
          <t>ADDR-06</t>
        </is>
      </c>
      <c r="B119" s="10" t="inlineStr">
        <is>
          <t>Адреса</t>
        </is>
      </c>
      <c r="C119" s="10" t="inlineStr">
        <is>
          <t>Редактирование адреса</t>
        </is>
      </c>
      <c r="D119" s="10" t="inlineStr">
        <is>
          <t>Есть сохранённый адрес</t>
        </is>
      </c>
      <c r="E119" s="10" t="inlineStr">
        <is>
          <t>1. Нажать на адрес.
2. Изменить «Xonadon» → «Saqlash».
3. Вернуть значение.</t>
        </is>
      </c>
      <c r="F119" s="10" t="inlineStr">
        <is>
          <t>Экран «Manzilni o'zgartirish»: Manzil belgisi, Manzilning nomi, Manzil (карандаш → карта), Xonadon / Podyezd / Qavat / Podyezd paroli. Изменения сохраняются.</t>
        </is>
      </c>
      <c r="G119" s="9" t="inlineStr">
        <is>
          <t>P2</t>
        </is>
      </c>
      <c r="H119" s="9" t="inlineStr">
        <is>
          <t>+</t>
        </is>
      </c>
      <c r="I119" s="9" t="inlineStr">
        <is>
          <t>Regression</t>
        </is>
      </c>
      <c r="J119" s="9" t="inlineStr">
        <is>
          <t>Меняет данные</t>
        </is>
      </c>
      <c r="K119" s="9" t="inlineStr">
        <is>
          <t>ADDR-03</t>
        </is>
      </c>
      <c r="L119" s="10" t="inlineStr"/>
    </row>
    <row r="120">
      <c r="A120" s="9" t="inlineStr">
        <is>
          <t>ADDR-07</t>
        </is>
      </c>
      <c r="B120" s="10" t="inlineStr">
        <is>
          <t>Адреса</t>
        </is>
      </c>
      <c r="C120" s="10" t="inlineStr">
        <is>
          <t>Метка адреса</t>
        </is>
      </c>
      <c r="D120" s="10" t="inlineStr">
        <is>
          <t>Открыто редактирование адреса</t>
        </is>
      </c>
      <c r="E120" s="10" t="inlineStr">
        <is>
          <t>1. Нажать «Manzil belgisi».</t>
        </is>
      </c>
      <c r="F120" s="10" t="inlineStr">
        <is>
          <t>Список меток (например, Uy / Ish / Boshqa) загружен, выбор отображается в карточке адреса.</t>
        </is>
      </c>
      <c r="G120" s="9" t="inlineStr">
        <is>
          <t>P2</t>
        </is>
      </c>
      <c r="H120" s="9" t="inlineStr">
        <is>
          <t>+</t>
        </is>
      </c>
      <c r="I120" s="9" t="inlineStr">
        <is>
          <t>Regression</t>
        </is>
      </c>
      <c r="J120" s="9" t="inlineStr">
        <is>
          <t>Меняет данные</t>
        </is>
      </c>
      <c r="K120" s="9" t="inlineStr"/>
      <c r="L120" s="10" t="inlineStr">
        <is>
          <t>BUG-004</t>
        </is>
      </c>
    </row>
    <row r="121">
      <c r="A121" s="9" t="inlineStr">
        <is>
          <t>ADDR-08</t>
        </is>
      </c>
      <c r="B121" s="10" t="inlineStr">
        <is>
          <t>Адреса</t>
        </is>
      </c>
      <c r="C121" s="10" t="inlineStr">
        <is>
          <t>Удаление адреса</t>
        </is>
      </c>
      <c r="D121" s="10" t="inlineStr">
        <is>
          <t>Есть лишний (тестовый) адрес</t>
        </is>
      </c>
      <c r="E121" s="10" t="inlineStr">
        <is>
          <t>1. Открыть адрес → иконка корзины.
2. Подтвердить.</t>
        </is>
      </c>
      <c r="F121" s="10" t="inlineStr">
        <is>
          <t>Есть подтверждение; адрес удалён из всех списков.</t>
        </is>
      </c>
      <c r="G121" s="9" t="inlineStr">
        <is>
          <t>P2</t>
        </is>
      </c>
      <c r="H121" s="9" t="inlineStr">
        <is>
          <t>+</t>
        </is>
      </c>
      <c r="I121" s="9" t="inlineStr">
        <is>
          <t>Regression</t>
        </is>
      </c>
      <c r="J121" s="9" t="inlineStr">
        <is>
          <t>Меняет данные</t>
        </is>
      </c>
      <c r="K121" s="9" t="inlineStr"/>
      <c r="L121" s="10" t="inlineStr">
        <is>
          <t>Не удалять текущий основной адрес</t>
        </is>
      </c>
    </row>
    <row r="122">
      <c r="A122" s="9" t="inlineStr">
        <is>
          <t>CARD-01</t>
        </is>
      </c>
      <c r="B122" s="10" t="inlineStr">
        <is>
          <t>Карты</t>
        </is>
      </c>
      <c r="C122" s="10" t="inlineStr">
        <is>
          <t>Список карт</t>
        </is>
      </c>
      <c r="D122" s="10" t="inlineStr">
        <is>
          <t>Пользователь авторизован</t>
        </is>
      </c>
      <c r="E122" s="10" t="inlineStr">
        <is>
          <t>1. Profile → «Mening kartalarim».</t>
        </is>
      </c>
      <c r="F122" s="10" t="inlineStr">
        <is>
          <t>Карты: баланс, тип (Humo/Uzcard), «•» последние 4 цифры, меню «⋮»; «Kartani qo'shish».</t>
        </is>
      </c>
      <c r="G122" s="9" t="inlineStr">
        <is>
          <t>P1</t>
        </is>
      </c>
      <c r="H122" s="9" t="inlineStr">
        <is>
          <t>+</t>
        </is>
      </c>
      <c r="I122" s="9" t="inlineStr">
        <is>
          <t>Sanity</t>
        </is>
      </c>
      <c r="J122" s="9" t="inlineStr">
        <is>
          <t>Безопасно</t>
        </is>
      </c>
      <c r="K122" s="9" t="inlineStr">
        <is>
          <t>CARD-01</t>
        </is>
      </c>
      <c r="L122" s="10" t="inlineStr"/>
    </row>
    <row r="123">
      <c r="A123" s="9" t="inlineStr">
        <is>
          <t>CARD-02</t>
        </is>
      </c>
      <c r="B123" s="10" t="inlineStr">
        <is>
          <t>Карты</t>
        </is>
      </c>
      <c r="C123" s="10" t="inlineStr">
        <is>
          <t>Валидация формы карты</t>
        </is>
      </c>
      <c r="D123" s="10" t="inlineStr">
        <is>
          <t>Открыто «Kartani qo'shish»</t>
        </is>
      </c>
      <c r="E123" s="10" t="inlineStr">
        <is>
          <t>1. Нажать «Kartani qo'shish» с пустыми полями.
2. Ввести 4 цифры номера и снова нажать.</t>
        </is>
      </c>
      <c r="F123" s="10" t="inlineStr">
        <is>
          <t>Сообщение «Kiritilgan ma'lumotlarni tekshiring», поля подсвечены красным.</t>
        </is>
      </c>
      <c r="G123" s="9" t="inlineStr">
        <is>
          <t>P1</t>
        </is>
      </c>
      <c r="H123" s="9" t="inlineStr">
        <is>
          <t>−</t>
        </is>
      </c>
      <c r="I123" s="9" t="inlineStr">
        <is>
          <t>Regression</t>
        </is>
      </c>
      <c r="J123" s="9" t="inlineStr">
        <is>
          <t>Безопасно</t>
        </is>
      </c>
      <c r="K123" s="9" t="inlineStr"/>
      <c r="L123" s="10" t="inlineStr"/>
    </row>
    <row r="124">
      <c r="A124" s="9" t="inlineStr">
        <is>
          <t>CARD-03</t>
        </is>
      </c>
      <c r="B124" s="10" t="inlineStr">
        <is>
          <t>Карты</t>
        </is>
      </c>
      <c r="C124" s="10" t="inlineStr">
        <is>
          <t>Некорректный срок действия</t>
        </is>
      </c>
      <c r="D124" s="10" t="inlineStr">
        <is>
          <t>Открыто «Kartani qo'shish»</t>
        </is>
      </c>
      <c r="E124" s="10" t="inlineStr">
        <is>
          <t>1. Ввести корректный номер и срок «13/30».
2. Ввести прошедший срок «01/20».</t>
        </is>
      </c>
      <c r="F124" s="10" t="inlineStr">
        <is>
          <t>Ошибка валидации срока, карта не добавляется.</t>
        </is>
      </c>
      <c r="G124" s="9" t="inlineStr">
        <is>
          <t>P2</t>
        </is>
      </c>
      <c r="H124" s="9" t="inlineStr">
        <is>
          <t>−</t>
        </is>
      </c>
      <c r="I124" s="9" t="inlineStr">
        <is>
          <t>Regression</t>
        </is>
      </c>
      <c r="J124" s="9" t="inlineStr">
        <is>
          <t>Безопасно</t>
        </is>
      </c>
      <c r="K124" s="9" t="inlineStr"/>
      <c r="L124" s="10" t="inlineStr"/>
    </row>
    <row r="125">
      <c r="A125" s="9" t="inlineStr">
        <is>
          <t>CARD-04</t>
        </is>
      </c>
      <c r="B125" s="10" t="inlineStr">
        <is>
          <t>Карты</t>
        </is>
      </c>
      <c r="C125" s="10" t="inlineStr">
        <is>
          <t>Добавление карты</t>
        </is>
      </c>
      <c r="D125" s="10" t="inlineStr">
        <is>
          <t>Реальная карта владельца</t>
        </is>
      </c>
      <c r="E125" s="10" t="inlineStr">
        <is>
          <t>1. Ввести номер и срок → «Kartani qo'shish».
2. Подтвердить SMS-кодом.</t>
        </is>
      </c>
      <c r="F125" s="10" t="inlineStr">
        <is>
          <t>Карта появляется в «Mening kartalarim» и в оформлении при «Karta orqali».</t>
        </is>
      </c>
      <c r="G125" s="9" t="inlineStr">
        <is>
          <t>P1</t>
        </is>
      </c>
      <c r="H125" s="9" t="inlineStr">
        <is>
          <t>+</t>
        </is>
      </c>
      <c r="I125" s="9" t="inlineStr">
        <is>
          <t>Regression</t>
        </is>
      </c>
      <c r="J125" s="9" t="inlineStr">
        <is>
          <t>Меняет данные</t>
        </is>
      </c>
      <c r="K125" s="9" t="inlineStr"/>
      <c r="L125" s="10" t="inlineStr">
        <is>
          <t>Использует реальную карту</t>
        </is>
      </c>
    </row>
    <row r="126">
      <c r="A126" s="9" t="inlineStr">
        <is>
          <t>CARD-05</t>
        </is>
      </c>
      <c r="B126" s="10" t="inlineStr">
        <is>
          <t>Карты</t>
        </is>
      </c>
      <c r="C126" s="10" t="inlineStr">
        <is>
          <t>Удаление карты</t>
        </is>
      </c>
      <c r="D126" s="10" t="inlineStr">
        <is>
          <t>Лишняя карта в списке</t>
        </is>
      </c>
      <c r="E126" s="10" t="inlineStr">
        <is>
          <t>1. «⋮» → «O'chirish».</t>
        </is>
      </c>
      <c r="F126" s="10" t="inlineStr">
        <is>
          <t>Есть подтверждение; карта исчезает из профиля и из оформления.</t>
        </is>
      </c>
      <c r="G126" s="9" t="inlineStr">
        <is>
          <t>P2</t>
        </is>
      </c>
      <c r="H126" s="9" t="inlineStr">
        <is>
          <t>+</t>
        </is>
      </c>
      <c r="I126" s="9" t="inlineStr">
        <is>
          <t>Regression</t>
        </is>
      </c>
      <c r="J126" s="9" t="inlineStr">
        <is>
          <t>Меняет данные</t>
        </is>
      </c>
      <c r="K126" s="9" t="inlineStr"/>
      <c r="L126" s="10" t="inlineStr">
        <is>
          <t>Не удалять единственную рабочую карту</t>
        </is>
      </c>
    </row>
    <row r="127">
      <c r="A127" s="9" t="inlineStr">
        <is>
          <t>SET-01</t>
        </is>
      </c>
      <c r="B127" s="10" t="inlineStr">
        <is>
          <t>Настройки</t>
        </is>
      </c>
      <c r="C127" s="10" t="inlineStr">
        <is>
          <t>Экран настроек и версия сборки</t>
        </is>
      </c>
      <c r="D127" s="10" t="inlineStr">
        <is>
          <t>Пользователь авторизован</t>
        </is>
      </c>
      <c r="E127" s="10" t="inlineStr">
        <is>
          <t>1. Profile → «Sozlamalar».</t>
        </is>
      </c>
      <c r="F127" s="10" t="inlineStr">
        <is>
          <t>Til (O'zbekcha), «Ko'p beriladigan savollar», «Ilova maxfiylik siyosati», тумблер «Xabarnomalarni yoqish», версия «V x.y.z (build)» совпадает с устанавливаемой сборкой.</t>
        </is>
      </c>
      <c r="G127" s="9" t="inlineStr">
        <is>
          <t>P0</t>
        </is>
      </c>
      <c r="H127" s="9" t="inlineStr">
        <is>
          <t>+</t>
        </is>
      </c>
      <c r="I127" s="9" t="inlineStr">
        <is>
          <t>Smoke</t>
        </is>
      </c>
      <c r="J127" s="9" t="inlineStr">
        <is>
          <t>Безопасно</t>
        </is>
      </c>
      <c r="K127" s="9" t="inlineStr">
        <is>
          <t>SET-05</t>
        </is>
      </c>
      <c r="L127" s="10" t="inlineStr">
        <is>
          <t>Записать версию в лист «Прогон»</t>
        </is>
      </c>
    </row>
    <row r="128">
      <c r="A128" s="9" t="inlineStr">
        <is>
          <t>SET-02</t>
        </is>
      </c>
      <c r="B128" s="10" t="inlineStr">
        <is>
          <t>Настройки</t>
        </is>
      </c>
      <c r="C128" s="10" t="inlineStr">
        <is>
          <t>Смена языка</t>
        </is>
      </c>
      <c r="D128" s="10" t="inlineStr">
        <is>
          <t>Открыты настройки</t>
        </is>
      </c>
      <c r="E128" s="10" t="inlineStr">
        <is>
          <t>1. «Til» → «Русский» → «Tasdiqlash».
2. Пройти Home, магазин, корзину, профиль.
3. Перезапустить приложение.
4. Повторить для «Ўзбекча», вернуть «O'zbekcha».</t>
        </is>
      </c>
      <c r="F128" s="10" t="inlineStr">
        <is>
          <t>Интерфейс переведён полностью, язык сохраняется после перезапуска.</t>
        </is>
      </c>
      <c r="G128" s="9" t="inlineStr">
        <is>
          <t>P1</t>
        </is>
      </c>
      <c r="H128" s="9" t="inlineStr">
        <is>
          <t>+</t>
        </is>
      </c>
      <c r="I128" s="9" t="inlineStr">
        <is>
          <t>Sanity</t>
        </is>
      </c>
      <c r="J128" s="9" t="inlineStr">
        <is>
          <t>Меняет данные</t>
        </is>
      </c>
      <c r="K128" s="9" t="inlineStr">
        <is>
          <t>SET-01</t>
        </is>
      </c>
      <c r="L128" s="10" t="inlineStr">
        <is>
          <t>Всегда возвращать O'zbekcha</t>
        </is>
      </c>
    </row>
    <row r="129">
      <c r="A129" s="9" t="inlineStr">
        <is>
          <t>SET-03</t>
        </is>
      </c>
      <c r="B129" s="10" t="inlineStr">
        <is>
          <t>Настройки</t>
        </is>
      </c>
      <c r="C129" s="10" t="inlineStr">
        <is>
          <t>Полнота перевода</t>
        </is>
      </c>
      <c r="D129" s="10" t="inlineStr">
        <is>
          <t>Язык Русский / Ўзбекча</t>
        </is>
      </c>
      <c r="E129" s="10" t="inlineStr">
        <is>
          <t>1. Пройти ключевые экраны и сообщения об ошибках (промокод, карта, валидации).</t>
        </is>
      </c>
      <c r="F129" s="10" t="inlineStr">
        <is>
          <t>Нет строк на другом языке и нет английских сообщений бэкенда.</t>
        </is>
      </c>
      <c r="G129" s="9" t="inlineStr">
        <is>
          <t>P2</t>
        </is>
      </c>
      <c r="H129" s="9" t="inlineStr">
        <is>
          <t>−</t>
        </is>
      </c>
      <c r="I129" s="9" t="inlineStr">
        <is>
          <t>Regression</t>
        </is>
      </c>
      <c r="J129" s="9" t="inlineStr">
        <is>
          <t>Меняет данные</t>
        </is>
      </c>
      <c r="K129" s="9" t="inlineStr"/>
      <c r="L129" s="10" t="inlineStr">
        <is>
          <t>BUG-008</t>
        </is>
      </c>
    </row>
    <row r="130">
      <c r="A130" s="9" t="inlineStr">
        <is>
          <t>SET-04</t>
        </is>
      </c>
      <c r="B130" s="10" t="inlineStr">
        <is>
          <t>Настройки</t>
        </is>
      </c>
      <c r="C130" s="10" t="inlineStr">
        <is>
          <t>Тумблер уведомлений</t>
        </is>
      </c>
      <c r="D130" s="10" t="inlineStr">
        <is>
          <t>Открыты настройки</t>
        </is>
      </c>
      <c r="E130" s="10" t="inlineStr">
        <is>
          <t>1. Выключить тумблер → в диалоге «Bekor qilish».
2. Выключить → «O'chirish».
3. Включить снова.</t>
        </is>
      </c>
      <c r="F130" s="10" t="inlineStr">
        <is>
          <t>Выключение требует подтверждения, отмена оставляет тумблер включённым. Включение срабатывает сразу.</t>
        </is>
      </c>
      <c r="G130" s="9" t="inlineStr">
        <is>
          <t>P2</t>
        </is>
      </c>
      <c r="H130" s="9" t="inlineStr">
        <is>
          <t>±</t>
        </is>
      </c>
      <c r="I130" s="9" t="inlineStr">
        <is>
          <t>Regression</t>
        </is>
      </c>
      <c r="J130" s="9" t="inlineStr">
        <is>
          <t>Меняет данные</t>
        </is>
      </c>
      <c r="K130" s="9" t="inlineStr">
        <is>
          <t>SET-02</t>
        </is>
      </c>
      <c r="L130" s="10" t="inlineStr">
        <is>
          <t>Вернуть в исходное состояние</t>
        </is>
      </c>
    </row>
    <row r="131">
      <c r="A131" s="9" t="inlineStr">
        <is>
          <t>SET-05</t>
        </is>
      </c>
      <c r="B131" s="10" t="inlineStr">
        <is>
          <t>Настройки</t>
        </is>
      </c>
      <c r="C131" s="10" t="inlineStr">
        <is>
          <t>FAQ</t>
        </is>
      </c>
      <c r="D131" s="10" t="inlineStr">
        <is>
          <t>Открыты настройки</t>
        </is>
      </c>
      <c r="E131" s="10" t="inlineStr">
        <is>
          <t>1. «Ko'p beriladigan savollar».
2. Раскрыть каждый вопрос.</t>
        </is>
      </c>
      <c r="F131" s="10" t="inlineStr">
        <is>
          <t>Каждый ответ соответствует вопросу и текущему функционалу приложения.</t>
        </is>
      </c>
      <c r="G131" s="9" t="inlineStr">
        <is>
          <t>P2</t>
        </is>
      </c>
      <c r="H131" s="9" t="inlineStr">
        <is>
          <t>+</t>
        </is>
      </c>
      <c r="I131" s="9" t="inlineStr">
        <is>
          <t>Regression</t>
        </is>
      </c>
      <c r="J131" s="9" t="inlineStr">
        <is>
          <t>Безопасно</t>
        </is>
      </c>
      <c r="K131" s="9" t="inlineStr">
        <is>
          <t>SET-03</t>
        </is>
      </c>
      <c r="L131" s="10" t="inlineStr">
        <is>
          <t>BUG-016</t>
        </is>
      </c>
    </row>
    <row r="132">
      <c r="A132" s="9" t="inlineStr">
        <is>
          <t>SET-06</t>
        </is>
      </c>
      <c r="B132" s="10" t="inlineStr">
        <is>
          <t>Настройки</t>
        </is>
      </c>
      <c r="C132" s="10" t="inlineStr">
        <is>
          <t>Политика конфиденциальности</t>
        </is>
      </c>
      <c r="D132" s="10" t="inlineStr">
        <is>
          <t>Открыты настройки</t>
        </is>
      </c>
      <c r="E132" s="10" t="inlineStr">
        <is>
          <t>1. «Ilova maxfiylik siyosati».</t>
        </is>
      </c>
      <c r="F132" s="10" t="inlineStr">
        <is>
          <t>Текст открывается внутри приложения и прокручивается.</t>
        </is>
      </c>
      <c r="G132" s="9" t="inlineStr">
        <is>
          <t>P2</t>
        </is>
      </c>
      <c r="H132" s="9" t="inlineStr">
        <is>
          <t>+</t>
        </is>
      </c>
      <c r="I132" s="9" t="inlineStr">
        <is>
          <t>Regression</t>
        </is>
      </c>
      <c r="J132" s="9" t="inlineStr">
        <is>
          <t>Безопасно</t>
        </is>
      </c>
      <c r="K132" s="9" t="inlineStr">
        <is>
          <t>SET-04</t>
        </is>
      </c>
      <c r="L132" s="10" t="inlineStr"/>
    </row>
    <row r="133">
      <c r="A133" s="9" t="inlineStr">
        <is>
          <t>GEN-01</t>
        </is>
      </c>
      <c r="B133" s="10" t="inlineStr">
        <is>
          <t>Общее</t>
        </is>
      </c>
      <c r="C133" s="10" t="inlineStr">
        <is>
          <t>Запуск без интернета</t>
        </is>
      </c>
      <c r="D133" s="10" t="inlineStr">
        <is>
          <t>Режим полёта включён</t>
        </is>
      </c>
      <c r="E133" s="10" t="inlineStr">
        <is>
          <t>1. Запустить приложение.
2. Выключить режим полёта.</t>
        </is>
      </c>
      <c r="F133" s="10" t="inlineStr">
        <is>
          <t>Понятное сообщение о сети и возможность повторить; после появления сети данные загружаются, без вылета.</t>
        </is>
      </c>
      <c r="G133" s="9" t="inlineStr">
        <is>
          <t>P1</t>
        </is>
      </c>
      <c r="H133" s="9" t="inlineStr">
        <is>
          <t>−</t>
        </is>
      </c>
      <c r="I133" s="9" t="inlineStr">
        <is>
          <t>Regression</t>
        </is>
      </c>
      <c r="J133" s="9" t="inlineStr">
        <is>
          <t>Безопасно</t>
        </is>
      </c>
      <c r="K133" s="9" t="inlineStr"/>
      <c r="L133" s="10" t="inlineStr"/>
    </row>
    <row r="134">
      <c r="A134" s="9" t="inlineStr">
        <is>
          <t>GEN-02</t>
        </is>
      </c>
      <c r="B134" s="10" t="inlineStr">
        <is>
          <t>Общее</t>
        </is>
      </c>
      <c r="C134" s="10" t="inlineStr">
        <is>
          <t>Потеря сети во время работы</t>
        </is>
      </c>
      <c r="D134" s="10" t="inlineStr">
        <is>
          <t>Пользователь авторизован</t>
        </is>
      </c>
      <c r="E134" s="10" t="inlineStr">
        <is>
          <t>1. Открыть магазин.
2. Включить режим полёта, открыть категорию / корзину / профиль.
3. Выключить режим полёта.</t>
        </is>
      </c>
      <c r="F134" s="10" t="inlineStr">
        <is>
          <t>Корректные сообщения об ошибке, после восстановления сети экраны загружаются.</t>
        </is>
      </c>
      <c r="G134" s="9" t="inlineStr">
        <is>
          <t>P2</t>
        </is>
      </c>
      <c r="H134" s="9" t="inlineStr">
        <is>
          <t>−</t>
        </is>
      </c>
      <c r="I134" s="9" t="inlineStr">
        <is>
          <t>Regression</t>
        </is>
      </c>
      <c r="J134" s="9" t="inlineStr">
        <is>
          <t>Безопасно</t>
        </is>
      </c>
      <c r="K134" s="9" t="inlineStr"/>
      <c r="L134" s="10" t="inlineStr"/>
    </row>
    <row r="135">
      <c r="A135" s="9" t="inlineStr">
        <is>
          <t>GEN-03</t>
        </is>
      </c>
      <c r="B135" s="10" t="inlineStr">
        <is>
          <t>Общее</t>
        </is>
      </c>
      <c r="C135" s="10" t="inlineStr">
        <is>
          <t>Системная кнопка «Назад»</t>
        </is>
      </c>
      <c r="D135" s="10" t="inlineStr">
        <is>
          <t>Пользователь авторизован</t>
        </is>
      </c>
      <c r="E135" s="10" t="inlineStr">
        <is>
          <t>1. На каждом вложенном экране нажать системную «Назад».</t>
        </is>
      </c>
      <c r="F135" s="10" t="inlineStr">
        <is>
          <t>Возврат на предыдущий экран; из шторок — закрытие шторки; с Home — выход из приложения.</t>
        </is>
      </c>
      <c r="G135" s="9" t="inlineStr">
        <is>
          <t>P2</t>
        </is>
      </c>
      <c r="H135" s="9" t="inlineStr">
        <is>
          <t>+</t>
        </is>
      </c>
      <c r="I135" s="9" t="inlineStr">
        <is>
          <t>Regression</t>
        </is>
      </c>
      <c r="J135" s="9" t="inlineStr">
        <is>
          <t>Безопасно</t>
        </is>
      </c>
      <c r="K135" s="9" t="inlineStr"/>
      <c r="L135" s="10" t="inlineStr"/>
    </row>
    <row r="136">
      <c r="A136" s="9" t="inlineStr">
        <is>
          <t>GEN-04</t>
        </is>
      </c>
      <c r="B136" s="10" t="inlineStr">
        <is>
          <t>Общее</t>
        </is>
      </c>
      <c r="C136" s="10" t="inlineStr">
        <is>
          <t>Единые форматы</t>
        </is>
      </c>
      <c r="D136" s="10" t="inlineStr">
        <is>
          <t>Пользователь авторизован</t>
        </is>
      </c>
      <c r="E136" s="10" t="inlineStr">
        <is>
          <t>1. Сравнить цены, валюту и телефоны на всех экранах.</t>
        </is>
      </c>
      <c r="F136" s="10" t="inlineStr">
        <is>
          <t>Цены «12 990 so'm» (с пробелом), одна валюта (so'm), телефон «+998 90 123 45 67» везде одинаково.</t>
        </is>
      </c>
      <c r="G136" s="9" t="inlineStr">
        <is>
          <t>P2</t>
        </is>
      </c>
      <c r="H136" s="9" t="inlineStr">
        <is>
          <t>±</t>
        </is>
      </c>
      <c r="I136" s="9" t="inlineStr">
        <is>
          <t>Regression</t>
        </is>
      </c>
      <c r="J136" s="9" t="inlineStr">
        <is>
          <t>Безопасно</t>
        </is>
      </c>
      <c r="K136" s="9" t="inlineStr"/>
      <c r="L136" s="10" t="inlineStr">
        <is>
          <t>BUG-012, BUG-014</t>
        </is>
      </c>
    </row>
    <row r="137">
      <c r="A137" s="9" t="inlineStr">
        <is>
          <t>GEN-05</t>
        </is>
      </c>
      <c r="B137" s="10" t="inlineStr">
        <is>
          <t>Общее</t>
        </is>
      </c>
      <c r="C137" s="10" t="inlineStr">
        <is>
          <t>Стабильность в долгой сессии</t>
        </is>
      </c>
      <c r="D137" s="10" t="inlineStr">
        <is>
          <t>Пользователь авторизован</t>
        </is>
      </c>
      <c r="E137" s="10" t="inlineStr">
        <is>
          <t>1. 30 минут свободного использования всех разделов.</t>
        </is>
      </c>
      <c r="F137" s="10" t="inlineStr">
        <is>
          <t>Нет вылетов, «приложение не отвечает» (ANR) и бесконечных загрузок.</t>
        </is>
      </c>
      <c r="G137" s="9" t="inlineStr">
        <is>
          <t>P1</t>
        </is>
      </c>
      <c r="H137" s="9" t="inlineStr">
        <is>
          <t>−</t>
        </is>
      </c>
      <c r="I137" s="9" t="inlineStr">
        <is>
          <t>Regression</t>
        </is>
      </c>
      <c r="J137" s="9" t="inlineStr">
        <is>
          <t>Безопасно</t>
        </is>
      </c>
      <c r="K137" s="9" t="inlineStr"/>
      <c r="L137" s="10" t="inlineStr">
        <is>
          <t>BUG-005</t>
        </is>
      </c>
    </row>
    <row r="138">
      <c r="A138" s="9" t="inlineStr">
        <is>
          <t>GEN-06</t>
        </is>
      </c>
      <c r="B138" s="10" t="inlineStr">
        <is>
          <t>Общее</t>
        </is>
      </c>
      <c r="C138" s="10" t="inlineStr">
        <is>
          <t>Маленький экран и крупный шрифт</t>
        </is>
      </c>
      <c r="D138" s="10" t="inlineStr">
        <is>
          <t>Системный шрифт «Крупный»; устройство 720×1600</t>
        </is>
      </c>
      <c r="E138" s="10" t="inlineStr">
        <is>
          <t>1. Пройти Home, магазин, корзину, оформление.</t>
        </is>
      </c>
      <c r="F138" s="10" t="inlineStr">
        <is>
          <t>Тексты не обрезаются, кнопки доступны и не перекрываются.</t>
        </is>
      </c>
      <c r="G138" s="9" t="inlineStr">
        <is>
          <t>P2</t>
        </is>
      </c>
      <c r="H138" s="9" t="inlineStr">
        <is>
          <t>±</t>
        </is>
      </c>
      <c r="I138" s="9" t="inlineStr">
        <is>
          <t>Regression</t>
        </is>
      </c>
      <c r="J138" s="9" t="inlineStr">
        <is>
          <t>Безопасно</t>
        </is>
      </c>
      <c r="K138" s="9" t="inlineStr"/>
      <c r="L138" s="10" t="inlineStr"/>
    </row>
    <row r="139">
      <c r="A139" s="9" t="inlineStr">
        <is>
          <t>GEN-07</t>
        </is>
      </c>
      <c r="B139" s="10" t="inlineStr">
        <is>
          <t>Общее</t>
        </is>
      </c>
      <c r="C139" s="10" t="inlineStr">
        <is>
          <t>Тёмная тема системы</t>
        </is>
      </c>
      <c r="D139" s="10" t="inlineStr">
        <is>
          <t>Включена тёмная тема Android</t>
        </is>
      </c>
      <c r="E139" s="10" t="inlineStr">
        <is>
          <t>1. Пройти основные экраны.</t>
        </is>
      </c>
      <c r="F139" s="10" t="inlineStr">
        <is>
          <t>Интерфейс читаем, нет белого текста на белом фоне.</t>
        </is>
      </c>
      <c r="G139" s="9" t="inlineStr">
        <is>
          <t>P2</t>
        </is>
      </c>
      <c r="H139" s="9" t="inlineStr">
        <is>
          <t>±</t>
        </is>
      </c>
      <c r="I139" s="9" t="inlineStr">
        <is>
          <t>Regression</t>
        </is>
      </c>
      <c r="J139" s="9" t="inlineStr">
        <is>
          <t>Безопасно</t>
        </is>
      </c>
      <c r="K139" s="9" t="inlineStr"/>
      <c r="L139" s="10" t="inlineStr"/>
    </row>
  </sheetData>
  <autoFilter ref="A1:L139"/>
  <conditionalFormatting sqref="I2:I139">
    <cfRule type="cellIs" priority="1" operator="equal" dxfId="0">
      <formula>"Smoke"</formula>
    </cfRule>
    <cfRule type="cellIs" priority="2" operator="equal" dxfId="1">
      <formula>"Sanity"</formula>
    </cfRule>
    <cfRule type="cellIs" priority="3" operator="equal" dxfId="2">
      <formula>"Regression"</formula>
    </cfRule>
  </conditionalFormatting>
  <conditionalFormatting sqref="J2:J139">
    <cfRule type="cellIs" priority="4" operator="equal" dxfId="3">
      <formula>"Безопасно"</formula>
    </cfRule>
    <cfRule type="cellIs" priority="5" operator="equal" dxfId="1">
      <formula>"Меняет данные"</formula>
    </cfRule>
    <cfRule type="cellIs" priority="6" operator="equal" dxfId="0">
      <formula>"Реальный заказ"</formula>
    </cfRule>
    <cfRule type="cellIs" priority="7" operator="equal" dxfId="4">
      <formula>"Необратимо"</formula>
    </cfRule>
  </conditionalFormatting>
  <conditionalFormatting sqref="G2:G139">
    <cfRule type="cellIs" priority="8" operator="equal" dxfId="5">
      <formula>"P0"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9"/>
  <sheetViews>
    <sheetView zoomScale="110" workbookViewId="0">
      <pane xSplit="3" ySplit="11" topLeftCell="D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40" customWidth="1" min="3" max="3"/>
    <col width="9" customWidth="1" min="4" max="4"/>
    <col width="22" customWidth="1" min="5" max="5"/>
    <col width="14" customWidth="1" min="6" max="6"/>
    <col width="11" customWidth="1" min="7" max="7"/>
    <col width="18" customWidth="1" min="8" max="8"/>
    <col width="50" customWidth="1" min="9" max="9"/>
  </cols>
  <sheetData>
    <row r="1">
      <c r="A1" s="1" t="inlineStr">
        <is>
          <t>Прогон (шаблон) — скопируйте лист на каждую сборку</t>
        </is>
      </c>
    </row>
    <row r="3">
      <c r="A3" s="13" t="inlineStr">
        <is>
          <t>Сборка (версия)</t>
        </is>
      </c>
      <c r="B3" s="14" t="inlineStr">
        <is>
          <t>1.1.8 (43)</t>
        </is>
      </c>
      <c r="E3" s="11" t="inlineStr">
        <is>
          <t>Всего кейсов</t>
        </is>
      </c>
      <c r="F3" s="12">
        <f>COUNTA($A$12:$A$149)</f>
        <v/>
      </c>
      <c r="H3" s="15" t="inlineStr">
        <is>
          <t>Smoke выполнено</t>
        </is>
      </c>
      <c r="I3" s="12">
        <f>COUNTIFS($E$12:$E$149,"Smoke",$G$12:$G$149,"&lt;&gt;")&amp;" из "&amp;COUNTIF($E$12:$E$149,"Smoke")</f>
        <v/>
      </c>
    </row>
    <row r="4">
      <c r="A4" s="13" t="inlineStr">
        <is>
          <t>Дата</t>
        </is>
      </c>
      <c r="B4" s="14" t="inlineStr"/>
      <c r="E4" s="11" t="inlineStr">
        <is>
          <t>Pass</t>
        </is>
      </c>
      <c r="F4" s="12">
        <f>COUNTIF($G$12:$G$149,"Pass")</f>
        <v/>
      </c>
      <c r="H4" s="15" t="inlineStr">
        <is>
          <t>Smoke Fail</t>
        </is>
      </c>
      <c r="I4" s="12">
        <f>COUNTIFS($E$12:$E$149,"Smoke",$G$12:$G$149,"Fail")</f>
        <v/>
      </c>
    </row>
    <row r="5">
      <c r="A5" s="13" t="inlineStr">
        <is>
          <t>Тестировщик</t>
        </is>
      </c>
      <c r="B5" s="14" t="inlineStr"/>
      <c r="E5" s="11" t="inlineStr">
        <is>
          <t>Fail</t>
        </is>
      </c>
      <c r="F5" s="12">
        <f>COUNTIF($G$12:$G$149,"Fail")</f>
        <v/>
      </c>
      <c r="H5" s="15" t="inlineStr">
        <is>
          <t>P0 Fail</t>
        </is>
      </c>
      <c r="I5" s="12">
        <f>COUNTIFS($D$12:$D$149,"P0",$G$12:$G$149,"Fail")</f>
        <v/>
      </c>
    </row>
    <row r="6">
      <c r="A6" s="13" t="inlineStr">
        <is>
          <t>Устройство</t>
        </is>
      </c>
      <c r="B6" s="14" t="inlineStr"/>
      <c r="E6" s="11" t="inlineStr">
        <is>
          <t>Blocked</t>
        </is>
      </c>
      <c r="F6" s="12">
        <f>COUNTIF($G$12:$G$149,"Blocked")</f>
        <v/>
      </c>
      <c r="H6" s="13" t="inlineStr">
        <is>
          <t>Вердикт</t>
        </is>
      </c>
      <c r="I6" s="12">
        <f>IF(I4&gt;0,"НЕ ГОДНА: упал Smoke",IF(I5&gt;0,"НЕ ГОДНА: упал P0",IF(COUNTIFS($E$12:$E$149,"Smoke",$G$12:$G$149,"")&gt;0,"Smoke не завершён","Smoke пройден")))</f>
        <v/>
      </c>
    </row>
    <row r="7">
      <c r="A7" s="13" t="inlineStr">
        <is>
          <t>Вид прогона</t>
        </is>
      </c>
      <c r="B7" s="14" t="inlineStr"/>
      <c r="E7" s="11" t="inlineStr">
        <is>
          <t>Skip</t>
        </is>
      </c>
      <c r="F7" s="12">
        <f>COUNTIF($G$12:$G$149,"Skip")</f>
        <v/>
      </c>
    </row>
    <row r="8">
      <c r="E8" s="11" t="inlineStr">
        <is>
          <t>Не выполнено</t>
        </is>
      </c>
      <c r="F8" s="12">
        <f>F3-F4-F5-F6-F7</f>
        <v/>
      </c>
    </row>
    <row r="9">
      <c r="A9" s="6" t="inlineStr">
        <is>
          <t>Жёлтые ячейки — заполнять. Фильтр по «Набор»: Smoke / Smoke+Sanity нужного модуля / всё для регресса.</t>
        </is>
      </c>
      <c r="E9" s="11" t="inlineStr">
        <is>
          <t>% Pass (из выполненных)</t>
        </is>
      </c>
      <c r="F9" s="16">
        <f>IF(F4+F5+F6=0,"-",F4/(F4+F5+F6))</f>
        <v/>
      </c>
    </row>
    <row r="11">
      <c r="A11" s="7" t="inlineStr">
        <is>
          <t>ID</t>
        </is>
      </c>
      <c r="B11" s="7" t="inlineStr">
        <is>
          <t>Модуль</t>
        </is>
      </c>
      <c r="C11" s="7" t="inlineStr">
        <is>
          <t>Название</t>
        </is>
      </c>
      <c r="D11" s="7" t="inlineStr">
        <is>
          <t>Приоритет</t>
        </is>
      </c>
      <c r="E11" s="7" t="inlineStr">
        <is>
          <t>Набор</t>
        </is>
      </c>
      <c r="F11" s="7" t="inlineStr">
        <is>
          <t>Риск</t>
        </is>
      </c>
      <c r="G11" s="7" t="inlineStr">
        <is>
          <t>Статус</t>
        </is>
      </c>
      <c r="H11" s="7" t="inlineStr">
        <is>
          <t>Баг</t>
        </is>
      </c>
      <c r="I11" s="7" t="inlineStr">
        <is>
          <t>Комментарий</t>
        </is>
      </c>
    </row>
    <row r="12">
      <c r="A12" s="9" t="inlineStr">
        <is>
          <t>ONB-01</t>
        </is>
      </c>
      <c r="B12" s="10">
        <f>IFERROR(INDEX('Тест-кейсы'!$B$2:$B$139,MATCH($A12,'Тест-кейсы'!$A$2:$A$139,0)),"")</f>
        <v/>
      </c>
      <c r="C12" s="10">
        <f>IFERROR(INDEX('Тест-кейсы'!$C$2:$C$139,MATCH($A12,'Тест-кейсы'!$A$2:$A$139,0)),"")</f>
        <v/>
      </c>
      <c r="D12" s="9">
        <f>IFERROR(INDEX('Тест-кейсы'!$G$2:$G$139,MATCH($A12,'Тест-кейсы'!$A$2:$A$139,0)),"")</f>
        <v/>
      </c>
      <c r="E12" s="9">
        <f>IFERROR(INDEX('Тест-кейсы'!$I$2:$I$139,MATCH($A12,'Тест-кейсы'!$A$2:$A$139,0)),"")</f>
        <v/>
      </c>
      <c r="F12" s="9">
        <f>IFERROR(INDEX('Тест-кейсы'!$J$2:$J$139,MATCH($A12,'Тест-кейсы'!$A$2:$A$139,0)),"")</f>
        <v/>
      </c>
      <c r="G12" s="17" t="n"/>
      <c r="H12" s="17" t="n"/>
      <c r="I12" s="18" t="n"/>
    </row>
    <row r="13">
      <c r="A13" s="9" t="inlineStr">
        <is>
          <t>ONB-02</t>
        </is>
      </c>
      <c r="B13" s="10">
        <f>IFERROR(INDEX('Тест-кейсы'!$B$2:$B$139,MATCH($A13,'Тест-кейсы'!$A$2:$A$139,0)),"")</f>
        <v/>
      </c>
      <c r="C13" s="10">
        <f>IFERROR(INDEX('Тест-кейсы'!$C$2:$C$139,MATCH($A13,'Тест-кейсы'!$A$2:$A$139,0)),"")</f>
        <v/>
      </c>
      <c r="D13" s="9">
        <f>IFERROR(INDEX('Тест-кейсы'!$G$2:$G$139,MATCH($A13,'Тест-кейсы'!$A$2:$A$139,0)),"")</f>
        <v/>
      </c>
      <c r="E13" s="9">
        <f>IFERROR(INDEX('Тест-кейсы'!$I$2:$I$139,MATCH($A13,'Тест-кейсы'!$A$2:$A$139,0)),"")</f>
        <v/>
      </c>
      <c r="F13" s="9">
        <f>IFERROR(INDEX('Тест-кейсы'!$J$2:$J$139,MATCH($A13,'Тест-кейсы'!$A$2:$A$139,0)),"")</f>
        <v/>
      </c>
      <c r="G13" s="17" t="n"/>
      <c r="H13" s="17" t="n"/>
      <c r="I13" s="18" t="n"/>
    </row>
    <row r="14">
      <c r="A14" s="9" t="inlineStr">
        <is>
          <t>ONB-03</t>
        </is>
      </c>
      <c r="B14" s="10">
        <f>IFERROR(INDEX('Тест-кейсы'!$B$2:$B$139,MATCH($A14,'Тест-кейсы'!$A$2:$A$139,0)),"")</f>
        <v/>
      </c>
      <c r="C14" s="10">
        <f>IFERROR(INDEX('Тест-кейсы'!$C$2:$C$139,MATCH($A14,'Тест-кейсы'!$A$2:$A$139,0)),"")</f>
        <v/>
      </c>
      <c r="D14" s="9">
        <f>IFERROR(INDEX('Тест-кейсы'!$G$2:$G$139,MATCH($A14,'Тест-кейсы'!$A$2:$A$139,0)),"")</f>
        <v/>
      </c>
      <c r="E14" s="9">
        <f>IFERROR(INDEX('Тест-кейсы'!$I$2:$I$139,MATCH($A14,'Тест-кейсы'!$A$2:$A$139,0)),"")</f>
        <v/>
      </c>
      <c r="F14" s="9">
        <f>IFERROR(INDEX('Тест-кейсы'!$J$2:$J$139,MATCH($A14,'Тест-кейсы'!$A$2:$A$139,0)),"")</f>
        <v/>
      </c>
      <c r="G14" s="17" t="n"/>
      <c r="H14" s="17" t="n"/>
      <c r="I14" s="18" t="n"/>
    </row>
    <row r="15">
      <c r="A15" s="9" t="inlineStr">
        <is>
          <t>ONB-04</t>
        </is>
      </c>
      <c r="B15" s="10">
        <f>IFERROR(INDEX('Тест-кейсы'!$B$2:$B$139,MATCH($A15,'Тест-кейсы'!$A$2:$A$139,0)),"")</f>
        <v/>
      </c>
      <c r="C15" s="10">
        <f>IFERROR(INDEX('Тест-кейсы'!$C$2:$C$139,MATCH($A15,'Тест-кейсы'!$A$2:$A$139,0)),"")</f>
        <v/>
      </c>
      <c r="D15" s="9">
        <f>IFERROR(INDEX('Тест-кейсы'!$G$2:$G$139,MATCH($A15,'Тест-кейсы'!$A$2:$A$139,0)),"")</f>
        <v/>
      </c>
      <c r="E15" s="9">
        <f>IFERROR(INDEX('Тест-кейсы'!$I$2:$I$139,MATCH($A15,'Тест-кейсы'!$A$2:$A$139,0)),"")</f>
        <v/>
      </c>
      <c r="F15" s="9">
        <f>IFERROR(INDEX('Тест-кейсы'!$J$2:$J$139,MATCH($A15,'Тест-кейсы'!$A$2:$A$139,0)),"")</f>
        <v/>
      </c>
      <c r="G15" s="17" t="n"/>
      <c r="H15" s="17" t="n"/>
      <c r="I15" s="18" t="n"/>
    </row>
    <row r="16">
      <c r="A16" s="9" t="inlineStr">
        <is>
          <t>ONB-05</t>
        </is>
      </c>
      <c r="B16" s="10">
        <f>IFERROR(INDEX('Тест-кейсы'!$B$2:$B$139,MATCH($A16,'Тест-кейсы'!$A$2:$A$139,0)),"")</f>
        <v/>
      </c>
      <c r="C16" s="10">
        <f>IFERROR(INDEX('Тест-кейсы'!$C$2:$C$139,MATCH($A16,'Тест-кейсы'!$A$2:$A$139,0)),"")</f>
        <v/>
      </c>
      <c r="D16" s="9">
        <f>IFERROR(INDEX('Тест-кейсы'!$G$2:$G$139,MATCH($A16,'Тест-кейсы'!$A$2:$A$139,0)),"")</f>
        <v/>
      </c>
      <c r="E16" s="9">
        <f>IFERROR(INDEX('Тест-кейсы'!$I$2:$I$139,MATCH($A16,'Тест-кейсы'!$A$2:$A$139,0)),"")</f>
        <v/>
      </c>
      <c r="F16" s="9">
        <f>IFERROR(INDEX('Тест-кейсы'!$J$2:$J$139,MATCH($A16,'Тест-кейсы'!$A$2:$A$139,0)),"")</f>
        <v/>
      </c>
      <c r="G16" s="17" t="n"/>
      <c r="H16" s="17" t="n"/>
      <c r="I16" s="18" t="n"/>
    </row>
    <row r="17">
      <c r="A17" s="9" t="inlineStr">
        <is>
          <t>ONB-06</t>
        </is>
      </c>
      <c r="B17" s="10">
        <f>IFERROR(INDEX('Тест-кейсы'!$B$2:$B$139,MATCH($A17,'Тест-кейсы'!$A$2:$A$139,0)),"")</f>
        <v/>
      </c>
      <c r="C17" s="10">
        <f>IFERROR(INDEX('Тест-кейсы'!$C$2:$C$139,MATCH($A17,'Тест-кейсы'!$A$2:$A$139,0)),"")</f>
        <v/>
      </c>
      <c r="D17" s="9">
        <f>IFERROR(INDEX('Тест-кейсы'!$G$2:$G$139,MATCH($A17,'Тест-кейсы'!$A$2:$A$139,0)),"")</f>
        <v/>
      </c>
      <c r="E17" s="9">
        <f>IFERROR(INDEX('Тест-кейсы'!$I$2:$I$139,MATCH($A17,'Тест-кейсы'!$A$2:$A$139,0)),"")</f>
        <v/>
      </c>
      <c r="F17" s="9">
        <f>IFERROR(INDEX('Тест-кейсы'!$J$2:$J$139,MATCH($A17,'Тест-кейсы'!$A$2:$A$139,0)),"")</f>
        <v/>
      </c>
      <c r="G17" s="17" t="n"/>
      <c r="H17" s="17" t="n"/>
      <c r="I17" s="18" t="n"/>
    </row>
    <row r="18">
      <c r="A18" s="9" t="inlineStr">
        <is>
          <t>ONB-07</t>
        </is>
      </c>
      <c r="B18" s="10">
        <f>IFERROR(INDEX('Тест-кейсы'!$B$2:$B$139,MATCH($A18,'Тест-кейсы'!$A$2:$A$139,0)),"")</f>
        <v/>
      </c>
      <c r="C18" s="10">
        <f>IFERROR(INDEX('Тест-кейсы'!$C$2:$C$139,MATCH($A18,'Тест-кейсы'!$A$2:$A$139,0)),"")</f>
        <v/>
      </c>
      <c r="D18" s="9">
        <f>IFERROR(INDEX('Тест-кейсы'!$G$2:$G$139,MATCH($A18,'Тест-кейсы'!$A$2:$A$139,0)),"")</f>
        <v/>
      </c>
      <c r="E18" s="9">
        <f>IFERROR(INDEX('Тест-кейсы'!$I$2:$I$139,MATCH($A18,'Тест-кейсы'!$A$2:$A$139,0)),"")</f>
        <v/>
      </c>
      <c r="F18" s="9">
        <f>IFERROR(INDEX('Тест-кейсы'!$J$2:$J$139,MATCH($A18,'Тест-кейсы'!$A$2:$A$139,0)),"")</f>
        <v/>
      </c>
      <c r="G18" s="17" t="n"/>
      <c r="H18" s="17" t="n"/>
      <c r="I18" s="18" t="n"/>
    </row>
    <row r="19">
      <c r="A19" s="9" t="inlineStr">
        <is>
          <t>ONB-08</t>
        </is>
      </c>
      <c r="B19" s="10">
        <f>IFERROR(INDEX('Тест-кейсы'!$B$2:$B$139,MATCH($A19,'Тест-кейсы'!$A$2:$A$139,0)),"")</f>
        <v/>
      </c>
      <c r="C19" s="10">
        <f>IFERROR(INDEX('Тест-кейсы'!$C$2:$C$139,MATCH($A19,'Тест-кейсы'!$A$2:$A$139,0)),"")</f>
        <v/>
      </c>
      <c r="D19" s="9">
        <f>IFERROR(INDEX('Тест-кейсы'!$G$2:$G$139,MATCH($A19,'Тест-кейсы'!$A$2:$A$139,0)),"")</f>
        <v/>
      </c>
      <c r="E19" s="9">
        <f>IFERROR(INDEX('Тест-кейсы'!$I$2:$I$139,MATCH($A19,'Тест-кейсы'!$A$2:$A$139,0)),"")</f>
        <v/>
      </c>
      <c r="F19" s="9">
        <f>IFERROR(INDEX('Тест-кейсы'!$J$2:$J$139,MATCH($A19,'Тест-кейсы'!$A$2:$A$139,0)),"")</f>
        <v/>
      </c>
      <c r="G19" s="17" t="n"/>
      <c r="H19" s="17" t="n"/>
      <c r="I19" s="18" t="n"/>
    </row>
    <row r="20">
      <c r="A20" s="9" t="inlineStr">
        <is>
          <t>AUTH-01</t>
        </is>
      </c>
      <c r="B20" s="10">
        <f>IFERROR(INDEX('Тест-кейсы'!$B$2:$B$139,MATCH($A20,'Тест-кейсы'!$A$2:$A$139,0)),"")</f>
        <v/>
      </c>
      <c r="C20" s="10">
        <f>IFERROR(INDEX('Тест-кейсы'!$C$2:$C$139,MATCH($A20,'Тест-кейсы'!$A$2:$A$139,0)),"")</f>
        <v/>
      </c>
      <c r="D20" s="9">
        <f>IFERROR(INDEX('Тест-кейсы'!$G$2:$G$139,MATCH($A20,'Тест-кейсы'!$A$2:$A$139,0)),"")</f>
        <v/>
      </c>
      <c r="E20" s="9">
        <f>IFERROR(INDEX('Тест-кейсы'!$I$2:$I$139,MATCH($A20,'Тест-кейсы'!$A$2:$A$139,0)),"")</f>
        <v/>
      </c>
      <c r="F20" s="9">
        <f>IFERROR(INDEX('Тест-кейсы'!$J$2:$J$139,MATCH($A20,'Тест-кейсы'!$A$2:$A$139,0)),"")</f>
        <v/>
      </c>
      <c r="G20" s="17" t="n"/>
      <c r="H20" s="17" t="n"/>
      <c r="I20" s="18" t="n"/>
    </row>
    <row r="21">
      <c r="A21" s="9" t="inlineStr">
        <is>
          <t>AUTH-02</t>
        </is>
      </c>
      <c r="B21" s="10">
        <f>IFERROR(INDEX('Тест-кейсы'!$B$2:$B$139,MATCH($A21,'Тест-кейсы'!$A$2:$A$139,0)),"")</f>
        <v/>
      </c>
      <c r="C21" s="10">
        <f>IFERROR(INDEX('Тест-кейсы'!$C$2:$C$139,MATCH($A21,'Тест-кейсы'!$A$2:$A$139,0)),"")</f>
        <v/>
      </c>
      <c r="D21" s="9">
        <f>IFERROR(INDEX('Тест-кейсы'!$G$2:$G$139,MATCH($A21,'Тест-кейсы'!$A$2:$A$139,0)),"")</f>
        <v/>
      </c>
      <c r="E21" s="9">
        <f>IFERROR(INDEX('Тест-кейсы'!$I$2:$I$139,MATCH($A21,'Тест-кейсы'!$A$2:$A$139,0)),"")</f>
        <v/>
      </c>
      <c r="F21" s="9">
        <f>IFERROR(INDEX('Тест-кейсы'!$J$2:$J$139,MATCH($A21,'Тест-кейсы'!$A$2:$A$139,0)),"")</f>
        <v/>
      </c>
      <c r="G21" s="17" t="n"/>
      <c r="H21" s="17" t="n"/>
      <c r="I21" s="18" t="n"/>
    </row>
    <row r="22">
      <c r="A22" s="9" t="inlineStr">
        <is>
          <t>AUTH-03</t>
        </is>
      </c>
      <c r="B22" s="10">
        <f>IFERROR(INDEX('Тест-кейсы'!$B$2:$B$139,MATCH($A22,'Тест-кейсы'!$A$2:$A$139,0)),"")</f>
        <v/>
      </c>
      <c r="C22" s="10">
        <f>IFERROR(INDEX('Тест-кейсы'!$C$2:$C$139,MATCH($A22,'Тест-кейсы'!$A$2:$A$139,0)),"")</f>
        <v/>
      </c>
      <c r="D22" s="9">
        <f>IFERROR(INDEX('Тест-кейсы'!$G$2:$G$139,MATCH($A22,'Тест-кейсы'!$A$2:$A$139,0)),"")</f>
        <v/>
      </c>
      <c r="E22" s="9">
        <f>IFERROR(INDEX('Тест-кейсы'!$I$2:$I$139,MATCH($A22,'Тест-кейсы'!$A$2:$A$139,0)),"")</f>
        <v/>
      </c>
      <c r="F22" s="9">
        <f>IFERROR(INDEX('Тест-кейсы'!$J$2:$J$139,MATCH($A22,'Тест-кейсы'!$A$2:$A$139,0)),"")</f>
        <v/>
      </c>
      <c r="G22" s="17" t="n"/>
      <c r="H22" s="17" t="n"/>
      <c r="I22" s="18" t="n"/>
    </row>
    <row r="23">
      <c r="A23" s="9" t="inlineStr">
        <is>
          <t>AUTH-04</t>
        </is>
      </c>
      <c r="B23" s="10">
        <f>IFERROR(INDEX('Тест-кейсы'!$B$2:$B$139,MATCH($A23,'Тест-кейсы'!$A$2:$A$139,0)),"")</f>
        <v/>
      </c>
      <c r="C23" s="10">
        <f>IFERROR(INDEX('Тест-кейсы'!$C$2:$C$139,MATCH($A23,'Тест-кейсы'!$A$2:$A$139,0)),"")</f>
        <v/>
      </c>
      <c r="D23" s="9">
        <f>IFERROR(INDEX('Тест-кейсы'!$G$2:$G$139,MATCH($A23,'Тест-кейсы'!$A$2:$A$139,0)),"")</f>
        <v/>
      </c>
      <c r="E23" s="9">
        <f>IFERROR(INDEX('Тест-кейсы'!$I$2:$I$139,MATCH($A23,'Тест-кейсы'!$A$2:$A$139,0)),"")</f>
        <v/>
      </c>
      <c r="F23" s="9">
        <f>IFERROR(INDEX('Тест-кейсы'!$J$2:$J$139,MATCH($A23,'Тест-кейсы'!$A$2:$A$139,0)),"")</f>
        <v/>
      </c>
      <c r="G23" s="17" t="n"/>
      <c r="H23" s="17" t="n"/>
      <c r="I23" s="18" t="n"/>
    </row>
    <row r="24">
      <c r="A24" s="9" t="inlineStr">
        <is>
          <t>AUTH-05</t>
        </is>
      </c>
      <c r="B24" s="10">
        <f>IFERROR(INDEX('Тест-кейсы'!$B$2:$B$139,MATCH($A24,'Тест-кейсы'!$A$2:$A$139,0)),"")</f>
        <v/>
      </c>
      <c r="C24" s="10">
        <f>IFERROR(INDEX('Тест-кейсы'!$C$2:$C$139,MATCH($A24,'Тест-кейсы'!$A$2:$A$139,0)),"")</f>
        <v/>
      </c>
      <c r="D24" s="9">
        <f>IFERROR(INDEX('Тест-кейсы'!$G$2:$G$139,MATCH($A24,'Тест-кейсы'!$A$2:$A$139,0)),"")</f>
        <v/>
      </c>
      <c r="E24" s="9">
        <f>IFERROR(INDEX('Тест-кейсы'!$I$2:$I$139,MATCH($A24,'Тест-кейсы'!$A$2:$A$139,0)),"")</f>
        <v/>
      </c>
      <c r="F24" s="9">
        <f>IFERROR(INDEX('Тест-кейсы'!$J$2:$J$139,MATCH($A24,'Тест-кейсы'!$A$2:$A$139,0)),"")</f>
        <v/>
      </c>
      <c r="G24" s="17" t="n"/>
      <c r="H24" s="17" t="n"/>
      <c r="I24" s="18" t="n"/>
    </row>
    <row r="25">
      <c r="A25" s="9" t="inlineStr">
        <is>
          <t>AUTH-06</t>
        </is>
      </c>
      <c r="B25" s="10">
        <f>IFERROR(INDEX('Тест-кейсы'!$B$2:$B$139,MATCH($A25,'Тест-кейсы'!$A$2:$A$139,0)),"")</f>
        <v/>
      </c>
      <c r="C25" s="10">
        <f>IFERROR(INDEX('Тест-кейсы'!$C$2:$C$139,MATCH($A25,'Тест-кейсы'!$A$2:$A$139,0)),"")</f>
        <v/>
      </c>
      <c r="D25" s="9">
        <f>IFERROR(INDEX('Тест-кейсы'!$G$2:$G$139,MATCH($A25,'Тест-кейсы'!$A$2:$A$139,0)),"")</f>
        <v/>
      </c>
      <c r="E25" s="9">
        <f>IFERROR(INDEX('Тест-кейсы'!$I$2:$I$139,MATCH($A25,'Тест-кейсы'!$A$2:$A$139,0)),"")</f>
        <v/>
      </c>
      <c r="F25" s="9">
        <f>IFERROR(INDEX('Тест-кейсы'!$J$2:$J$139,MATCH($A25,'Тест-кейсы'!$A$2:$A$139,0)),"")</f>
        <v/>
      </c>
      <c r="G25" s="17" t="n"/>
      <c r="H25" s="17" t="n"/>
      <c r="I25" s="18" t="n"/>
    </row>
    <row r="26">
      <c r="A26" s="9" t="inlineStr">
        <is>
          <t>AUTH-07</t>
        </is>
      </c>
      <c r="B26" s="10">
        <f>IFERROR(INDEX('Тест-кейсы'!$B$2:$B$139,MATCH($A26,'Тест-кейсы'!$A$2:$A$139,0)),"")</f>
        <v/>
      </c>
      <c r="C26" s="10">
        <f>IFERROR(INDEX('Тест-кейсы'!$C$2:$C$139,MATCH($A26,'Тест-кейсы'!$A$2:$A$139,0)),"")</f>
        <v/>
      </c>
      <c r="D26" s="9">
        <f>IFERROR(INDEX('Тест-кейсы'!$G$2:$G$139,MATCH($A26,'Тест-кейсы'!$A$2:$A$139,0)),"")</f>
        <v/>
      </c>
      <c r="E26" s="9">
        <f>IFERROR(INDEX('Тест-кейсы'!$I$2:$I$139,MATCH($A26,'Тест-кейсы'!$A$2:$A$139,0)),"")</f>
        <v/>
      </c>
      <c r="F26" s="9">
        <f>IFERROR(INDEX('Тест-кейсы'!$J$2:$J$139,MATCH($A26,'Тест-кейсы'!$A$2:$A$139,0)),"")</f>
        <v/>
      </c>
      <c r="G26" s="17" t="n"/>
      <c r="H26" s="17" t="n"/>
      <c r="I26" s="18" t="n"/>
    </row>
    <row r="27">
      <c r="A27" s="9" t="inlineStr">
        <is>
          <t>AUTH-08</t>
        </is>
      </c>
      <c r="B27" s="10">
        <f>IFERROR(INDEX('Тест-кейсы'!$B$2:$B$139,MATCH($A27,'Тест-кейсы'!$A$2:$A$139,0)),"")</f>
        <v/>
      </c>
      <c r="C27" s="10">
        <f>IFERROR(INDEX('Тест-кейсы'!$C$2:$C$139,MATCH($A27,'Тест-кейсы'!$A$2:$A$139,0)),"")</f>
        <v/>
      </c>
      <c r="D27" s="9">
        <f>IFERROR(INDEX('Тест-кейсы'!$G$2:$G$139,MATCH($A27,'Тест-кейсы'!$A$2:$A$139,0)),"")</f>
        <v/>
      </c>
      <c r="E27" s="9">
        <f>IFERROR(INDEX('Тест-кейсы'!$I$2:$I$139,MATCH($A27,'Тест-кейсы'!$A$2:$A$139,0)),"")</f>
        <v/>
      </c>
      <c r="F27" s="9">
        <f>IFERROR(INDEX('Тест-кейсы'!$J$2:$J$139,MATCH($A27,'Тест-кейсы'!$A$2:$A$139,0)),"")</f>
        <v/>
      </c>
      <c r="G27" s="17" t="n"/>
      <c r="H27" s="17" t="n"/>
      <c r="I27" s="18" t="n"/>
    </row>
    <row r="28">
      <c r="A28" s="9" t="inlineStr">
        <is>
          <t>HOME-01</t>
        </is>
      </c>
      <c r="B28" s="10">
        <f>IFERROR(INDEX('Тест-кейсы'!$B$2:$B$139,MATCH($A28,'Тест-кейсы'!$A$2:$A$139,0)),"")</f>
        <v/>
      </c>
      <c r="C28" s="10">
        <f>IFERROR(INDEX('Тест-кейсы'!$C$2:$C$139,MATCH($A28,'Тест-кейсы'!$A$2:$A$139,0)),"")</f>
        <v/>
      </c>
      <c r="D28" s="9">
        <f>IFERROR(INDEX('Тест-кейсы'!$G$2:$G$139,MATCH($A28,'Тест-кейсы'!$A$2:$A$139,0)),"")</f>
        <v/>
      </c>
      <c r="E28" s="9">
        <f>IFERROR(INDEX('Тест-кейсы'!$I$2:$I$139,MATCH($A28,'Тест-кейсы'!$A$2:$A$139,0)),"")</f>
        <v/>
      </c>
      <c r="F28" s="9">
        <f>IFERROR(INDEX('Тест-кейсы'!$J$2:$J$139,MATCH($A28,'Тест-кейсы'!$A$2:$A$139,0)),"")</f>
        <v/>
      </c>
      <c r="G28" s="17" t="n"/>
      <c r="H28" s="17" t="n"/>
      <c r="I28" s="18" t="n"/>
    </row>
    <row r="29">
      <c r="A29" s="9" t="inlineStr">
        <is>
          <t>HOME-02</t>
        </is>
      </c>
      <c r="B29" s="10">
        <f>IFERROR(INDEX('Тест-кейсы'!$B$2:$B$139,MATCH($A29,'Тест-кейсы'!$A$2:$A$139,0)),"")</f>
        <v/>
      </c>
      <c r="C29" s="10">
        <f>IFERROR(INDEX('Тест-кейсы'!$C$2:$C$139,MATCH($A29,'Тест-кейсы'!$A$2:$A$139,0)),"")</f>
        <v/>
      </c>
      <c r="D29" s="9">
        <f>IFERROR(INDEX('Тест-кейсы'!$G$2:$G$139,MATCH($A29,'Тест-кейсы'!$A$2:$A$139,0)),"")</f>
        <v/>
      </c>
      <c r="E29" s="9">
        <f>IFERROR(INDEX('Тест-кейсы'!$I$2:$I$139,MATCH($A29,'Тест-кейсы'!$A$2:$A$139,0)),"")</f>
        <v/>
      </c>
      <c r="F29" s="9">
        <f>IFERROR(INDEX('Тест-кейсы'!$J$2:$J$139,MATCH($A29,'Тест-кейсы'!$A$2:$A$139,0)),"")</f>
        <v/>
      </c>
      <c r="G29" s="17" t="n"/>
      <c r="H29" s="17" t="n"/>
      <c r="I29" s="18" t="n"/>
    </row>
    <row r="30">
      <c r="A30" s="9" t="inlineStr">
        <is>
          <t>HOME-03</t>
        </is>
      </c>
      <c r="B30" s="10">
        <f>IFERROR(INDEX('Тест-кейсы'!$B$2:$B$139,MATCH($A30,'Тест-кейсы'!$A$2:$A$139,0)),"")</f>
        <v/>
      </c>
      <c r="C30" s="10">
        <f>IFERROR(INDEX('Тест-кейсы'!$C$2:$C$139,MATCH($A30,'Тест-кейсы'!$A$2:$A$139,0)),"")</f>
        <v/>
      </c>
      <c r="D30" s="9">
        <f>IFERROR(INDEX('Тест-кейсы'!$G$2:$G$139,MATCH($A30,'Тест-кейсы'!$A$2:$A$139,0)),"")</f>
        <v/>
      </c>
      <c r="E30" s="9">
        <f>IFERROR(INDEX('Тест-кейсы'!$I$2:$I$139,MATCH($A30,'Тест-кейсы'!$A$2:$A$139,0)),"")</f>
        <v/>
      </c>
      <c r="F30" s="9">
        <f>IFERROR(INDEX('Тест-кейсы'!$J$2:$J$139,MATCH($A30,'Тест-кейсы'!$A$2:$A$139,0)),"")</f>
        <v/>
      </c>
      <c r="G30" s="17" t="n"/>
      <c r="H30" s="17" t="n"/>
      <c r="I30" s="18" t="n"/>
    </row>
    <row r="31">
      <c r="A31" s="9" t="inlineStr">
        <is>
          <t>HOME-04</t>
        </is>
      </c>
      <c r="B31" s="10">
        <f>IFERROR(INDEX('Тест-кейсы'!$B$2:$B$139,MATCH($A31,'Тест-кейсы'!$A$2:$A$139,0)),"")</f>
        <v/>
      </c>
      <c r="C31" s="10">
        <f>IFERROR(INDEX('Тест-кейсы'!$C$2:$C$139,MATCH($A31,'Тест-кейсы'!$A$2:$A$139,0)),"")</f>
        <v/>
      </c>
      <c r="D31" s="9">
        <f>IFERROR(INDEX('Тест-кейсы'!$G$2:$G$139,MATCH($A31,'Тест-кейсы'!$A$2:$A$139,0)),"")</f>
        <v/>
      </c>
      <c r="E31" s="9">
        <f>IFERROR(INDEX('Тест-кейсы'!$I$2:$I$139,MATCH($A31,'Тест-кейсы'!$A$2:$A$139,0)),"")</f>
        <v/>
      </c>
      <c r="F31" s="9">
        <f>IFERROR(INDEX('Тест-кейсы'!$J$2:$J$139,MATCH($A31,'Тест-кейсы'!$A$2:$A$139,0)),"")</f>
        <v/>
      </c>
      <c r="G31" s="17" t="n"/>
      <c r="H31" s="17" t="n"/>
      <c r="I31" s="18" t="n"/>
    </row>
    <row r="32">
      <c r="A32" s="9" t="inlineStr">
        <is>
          <t>HOME-05</t>
        </is>
      </c>
      <c r="B32" s="10">
        <f>IFERROR(INDEX('Тест-кейсы'!$B$2:$B$139,MATCH($A32,'Тест-кейсы'!$A$2:$A$139,0)),"")</f>
        <v/>
      </c>
      <c r="C32" s="10">
        <f>IFERROR(INDEX('Тест-кейсы'!$C$2:$C$139,MATCH($A32,'Тест-кейсы'!$A$2:$A$139,0)),"")</f>
        <v/>
      </c>
      <c r="D32" s="9">
        <f>IFERROR(INDEX('Тест-кейсы'!$G$2:$G$139,MATCH($A32,'Тест-кейсы'!$A$2:$A$139,0)),"")</f>
        <v/>
      </c>
      <c r="E32" s="9">
        <f>IFERROR(INDEX('Тест-кейсы'!$I$2:$I$139,MATCH($A32,'Тест-кейсы'!$A$2:$A$139,0)),"")</f>
        <v/>
      </c>
      <c r="F32" s="9">
        <f>IFERROR(INDEX('Тест-кейсы'!$J$2:$J$139,MATCH($A32,'Тест-кейсы'!$A$2:$A$139,0)),"")</f>
        <v/>
      </c>
      <c r="G32" s="17" t="n"/>
      <c r="H32" s="17" t="n"/>
      <c r="I32" s="18" t="n"/>
    </row>
    <row r="33">
      <c r="A33" s="9" t="inlineStr">
        <is>
          <t>HOME-06</t>
        </is>
      </c>
      <c r="B33" s="10">
        <f>IFERROR(INDEX('Тест-кейсы'!$B$2:$B$139,MATCH($A33,'Тест-кейсы'!$A$2:$A$139,0)),"")</f>
        <v/>
      </c>
      <c r="C33" s="10">
        <f>IFERROR(INDEX('Тест-кейсы'!$C$2:$C$139,MATCH($A33,'Тест-кейсы'!$A$2:$A$139,0)),"")</f>
        <v/>
      </c>
      <c r="D33" s="9">
        <f>IFERROR(INDEX('Тест-кейсы'!$G$2:$G$139,MATCH($A33,'Тест-кейсы'!$A$2:$A$139,0)),"")</f>
        <v/>
      </c>
      <c r="E33" s="9">
        <f>IFERROR(INDEX('Тест-кейсы'!$I$2:$I$139,MATCH($A33,'Тест-кейсы'!$A$2:$A$139,0)),"")</f>
        <v/>
      </c>
      <c r="F33" s="9">
        <f>IFERROR(INDEX('Тест-кейсы'!$J$2:$J$139,MATCH($A33,'Тест-кейсы'!$A$2:$A$139,0)),"")</f>
        <v/>
      </c>
      <c r="G33" s="17" t="n"/>
      <c r="H33" s="17" t="n"/>
      <c r="I33" s="18" t="n"/>
    </row>
    <row r="34">
      <c r="A34" s="9" t="inlineStr">
        <is>
          <t>HOME-07</t>
        </is>
      </c>
      <c r="B34" s="10">
        <f>IFERROR(INDEX('Тест-кейсы'!$B$2:$B$139,MATCH($A34,'Тест-кейсы'!$A$2:$A$139,0)),"")</f>
        <v/>
      </c>
      <c r="C34" s="10">
        <f>IFERROR(INDEX('Тест-кейсы'!$C$2:$C$139,MATCH($A34,'Тест-кейсы'!$A$2:$A$139,0)),"")</f>
        <v/>
      </c>
      <c r="D34" s="9">
        <f>IFERROR(INDEX('Тест-кейсы'!$G$2:$G$139,MATCH($A34,'Тест-кейсы'!$A$2:$A$139,0)),"")</f>
        <v/>
      </c>
      <c r="E34" s="9">
        <f>IFERROR(INDEX('Тест-кейсы'!$I$2:$I$139,MATCH($A34,'Тест-кейсы'!$A$2:$A$139,0)),"")</f>
        <v/>
      </c>
      <c r="F34" s="9">
        <f>IFERROR(INDEX('Тест-кейсы'!$J$2:$J$139,MATCH($A34,'Тест-кейсы'!$A$2:$A$139,0)),"")</f>
        <v/>
      </c>
      <c r="G34" s="17" t="n"/>
      <c r="H34" s="17" t="n"/>
      <c r="I34" s="18" t="n"/>
    </row>
    <row r="35">
      <c r="A35" s="9" t="inlineStr">
        <is>
          <t>HOME-08</t>
        </is>
      </c>
      <c r="B35" s="10">
        <f>IFERROR(INDEX('Тест-кейсы'!$B$2:$B$139,MATCH($A35,'Тест-кейсы'!$A$2:$A$139,0)),"")</f>
        <v/>
      </c>
      <c r="C35" s="10">
        <f>IFERROR(INDEX('Тест-кейсы'!$C$2:$C$139,MATCH($A35,'Тест-кейсы'!$A$2:$A$139,0)),"")</f>
        <v/>
      </c>
      <c r="D35" s="9">
        <f>IFERROR(INDEX('Тест-кейсы'!$G$2:$G$139,MATCH($A35,'Тест-кейсы'!$A$2:$A$139,0)),"")</f>
        <v/>
      </c>
      <c r="E35" s="9">
        <f>IFERROR(INDEX('Тест-кейсы'!$I$2:$I$139,MATCH($A35,'Тест-кейсы'!$A$2:$A$139,0)),"")</f>
        <v/>
      </c>
      <c r="F35" s="9">
        <f>IFERROR(INDEX('Тест-кейсы'!$J$2:$J$139,MATCH($A35,'Тест-кейсы'!$A$2:$A$139,0)),"")</f>
        <v/>
      </c>
      <c r="G35" s="17" t="n"/>
      <c r="H35" s="17" t="n"/>
      <c r="I35" s="18" t="n"/>
    </row>
    <row r="36">
      <c r="A36" s="9" t="inlineStr">
        <is>
          <t>HOME-09</t>
        </is>
      </c>
      <c r="B36" s="10">
        <f>IFERROR(INDEX('Тест-кейсы'!$B$2:$B$139,MATCH($A36,'Тест-кейсы'!$A$2:$A$139,0)),"")</f>
        <v/>
      </c>
      <c r="C36" s="10">
        <f>IFERROR(INDEX('Тест-кейсы'!$C$2:$C$139,MATCH($A36,'Тест-кейсы'!$A$2:$A$139,0)),"")</f>
        <v/>
      </c>
      <c r="D36" s="9">
        <f>IFERROR(INDEX('Тест-кейсы'!$G$2:$G$139,MATCH($A36,'Тест-кейсы'!$A$2:$A$139,0)),"")</f>
        <v/>
      </c>
      <c r="E36" s="9">
        <f>IFERROR(INDEX('Тест-кейсы'!$I$2:$I$139,MATCH($A36,'Тест-кейсы'!$A$2:$A$139,0)),"")</f>
        <v/>
      </c>
      <c r="F36" s="9">
        <f>IFERROR(INDEX('Тест-кейсы'!$J$2:$J$139,MATCH($A36,'Тест-кейсы'!$A$2:$A$139,0)),"")</f>
        <v/>
      </c>
      <c r="G36" s="17" t="n"/>
      <c r="H36" s="17" t="n"/>
      <c r="I36" s="18" t="n"/>
    </row>
    <row r="37">
      <c r="A37" s="9" t="inlineStr">
        <is>
          <t>HOME-10</t>
        </is>
      </c>
      <c r="B37" s="10">
        <f>IFERROR(INDEX('Тест-кейсы'!$B$2:$B$139,MATCH($A37,'Тест-кейсы'!$A$2:$A$139,0)),"")</f>
        <v/>
      </c>
      <c r="C37" s="10">
        <f>IFERROR(INDEX('Тест-кейсы'!$C$2:$C$139,MATCH($A37,'Тест-кейсы'!$A$2:$A$139,0)),"")</f>
        <v/>
      </c>
      <c r="D37" s="9">
        <f>IFERROR(INDEX('Тест-кейсы'!$G$2:$G$139,MATCH($A37,'Тест-кейсы'!$A$2:$A$139,0)),"")</f>
        <v/>
      </c>
      <c r="E37" s="9">
        <f>IFERROR(INDEX('Тест-кейсы'!$I$2:$I$139,MATCH($A37,'Тест-кейсы'!$A$2:$A$139,0)),"")</f>
        <v/>
      </c>
      <c r="F37" s="9">
        <f>IFERROR(INDEX('Тест-кейсы'!$J$2:$J$139,MATCH($A37,'Тест-кейсы'!$A$2:$A$139,0)),"")</f>
        <v/>
      </c>
      <c r="G37" s="17" t="n"/>
      <c r="H37" s="17" t="n"/>
      <c r="I37" s="18" t="n"/>
    </row>
    <row r="38">
      <c r="A38" s="9" t="inlineStr">
        <is>
          <t>STORE-01</t>
        </is>
      </c>
      <c r="B38" s="10">
        <f>IFERROR(INDEX('Тест-кейсы'!$B$2:$B$139,MATCH($A38,'Тест-кейсы'!$A$2:$A$139,0)),"")</f>
        <v/>
      </c>
      <c r="C38" s="10">
        <f>IFERROR(INDEX('Тест-кейсы'!$C$2:$C$139,MATCH($A38,'Тест-кейсы'!$A$2:$A$139,0)),"")</f>
        <v/>
      </c>
      <c r="D38" s="9">
        <f>IFERROR(INDEX('Тест-кейсы'!$G$2:$G$139,MATCH($A38,'Тест-кейсы'!$A$2:$A$139,0)),"")</f>
        <v/>
      </c>
      <c r="E38" s="9">
        <f>IFERROR(INDEX('Тест-кейсы'!$I$2:$I$139,MATCH($A38,'Тест-кейсы'!$A$2:$A$139,0)),"")</f>
        <v/>
      </c>
      <c r="F38" s="9">
        <f>IFERROR(INDEX('Тест-кейсы'!$J$2:$J$139,MATCH($A38,'Тест-кейсы'!$A$2:$A$139,0)),"")</f>
        <v/>
      </c>
      <c r="G38" s="17" t="n"/>
      <c r="H38" s="17" t="n"/>
      <c r="I38" s="18" t="n"/>
    </row>
    <row r="39">
      <c r="A39" s="9" t="inlineStr">
        <is>
          <t>STORE-02</t>
        </is>
      </c>
      <c r="B39" s="10">
        <f>IFERROR(INDEX('Тест-кейсы'!$B$2:$B$139,MATCH($A39,'Тест-кейсы'!$A$2:$A$139,0)),"")</f>
        <v/>
      </c>
      <c r="C39" s="10">
        <f>IFERROR(INDEX('Тест-кейсы'!$C$2:$C$139,MATCH($A39,'Тест-кейсы'!$A$2:$A$139,0)),"")</f>
        <v/>
      </c>
      <c r="D39" s="9">
        <f>IFERROR(INDEX('Тест-кейсы'!$G$2:$G$139,MATCH($A39,'Тест-кейсы'!$A$2:$A$139,0)),"")</f>
        <v/>
      </c>
      <c r="E39" s="9">
        <f>IFERROR(INDEX('Тест-кейсы'!$I$2:$I$139,MATCH($A39,'Тест-кейсы'!$A$2:$A$139,0)),"")</f>
        <v/>
      </c>
      <c r="F39" s="9">
        <f>IFERROR(INDEX('Тест-кейсы'!$J$2:$J$139,MATCH($A39,'Тест-кейсы'!$A$2:$A$139,0)),"")</f>
        <v/>
      </c>
      <c r="G39" s="17" t="n"/>
      <c r="H39" s="17" t="n"/>
      <c r="I39" s="18" t="n"/>
    </row>
    <row r="40">
      <c r="A40" s="9" t="inlineStr">
        <is>
          <t>STORE-03</t>
        </is>
      </c>
      <c r="B40" s="10">
        <f>IFERROR(INDEX('Тест-кейсы'!$B$2:$B$139,MATCH($A40,'Тест-кейсы'!$A$2:$A$139,0)),"")</f>
        <v/>
      </c>
      <c r="C40" s="10">
        <f>IFERROR(INDEX('Тест-кейсы'!$C$2:$C$139,MATCH($A40,'Тест-кейсы'!$A$2:$A$139,0)),"")</f>
        <v/>
      </c>
      <c r="D40" s="9">
        <f>IFERROR(INDEX('Тест-кейсы'!$G$2:$G$139,MATCH($A40,'Тест-кейсы'!$A$2:$A$139,0)),"")</f>
        <v/>
      </c>
      <c r="E40" s="9">
        <f>IFERROR(INDEX('Тест-кейсы'!$I$2:$I$139,MATCH($A40,'Тест-кейсы'!$A$2:$A$139,0)),"")</f>
        <v/>
      </c>
      <c r="F40" s="9">
        <f>IFERROR(INDEX('Тест-кейсы'!$J$2:$J$139,MATCH($A40,'Тест-кейсы'!$A$2:$A$139,0)),"")</f>
        <v/>
      </c>
      <c r="G40" s="17" t="n"/>
      <c r="H40" s="17" t="n"/>
      <c r="I40" s="18" t="n"/>
    </row>
    <row r="41">
      <c r="A41" s="9" t="inlineStr">
        <is>
          <t>STORE-04</t>
        </is>
      </c>
      <c r="B41" s="10">
        <f>IFERROR(INDEX('Тест-кейсы'!$B$2:$B$139,MATCH($A41,'Тест-кейсы'!$A$2:$A$139,0)),"")</f>
        <v/>
      </c>
      <c r="C41" s="10">
        <f>IFERROR(INDEX('Тест-кейсы'!$C$2:$C$139,MATCH($A41,'Тест-кейсы'!$A$2:$A$139,0)),"")</f>
        <v/>
      </c>
      <c r="D41" s="9">
        <f>IFERROR(INDEX('Тест-кейсы'!$G$2:$G$139,MATCH($A41,'Тест-кейсы'!$A$2:$A$139,0)),"")</f>
        <v/>
      </c>
      <c r="E41" s="9">
        <f>IFERROR(INDEX('Тест-кейсы'!$I$2:$I$139,MATCH($A41,'Тест-кейсы'!$A$2:$A$139,0)),"")</f>
        <v/>
      </c>
      <c r="F41" s="9">
        <f>IFERROR(INDEX('Тест-кейсы'!$J$2:$J$139,MATCH($A41,'Тест-кейсы'!$A$2:$A$139,0)),"")</f>
        <v/>
      </c>
      <c r="G41" s="17" t="n"/>
      <c r="H41" s="17" t="n"/>
      <c r="I41" s="18" t="n"/>
    </row>
    <row r="42">
      <c r="A42" s="9" t="inlineStr">
        <is>
          <t>STORE-05</t>
        </is>
      </c>
      <c r="B42" s="10">
        <f>IFERROR(INDEX('Тест-кейсы'!$B$2:$B$139,MATCH($A42,'Тест-кейсы'!$A$2:$A$139,0)),"")</f>
        <v/>
      </c>
      <c r="C42" s="10">
        <f>IFERROR(INDEX('Тест-кейсы'!$C$2:$C$139,MATCH($A42,'Тест-кейсы'!$A$2:$A$139,0)),"")</f>
        <v/>
      </c>
      <c r="D42" s="9">
        <f>IFERROR(INDEX('Тест-кейсы'!$G$2:$G$139,MATCH($A42,'Тест-кейсы'!$A$2:$A$139,0)),"")</f>
        <v/>
      </c>
      <c r="E42" s="9">
        <f>IFERROR(INDEX('Тест-кейсы'!$I$2:$I$139,MATCH($A42,'Тест-кейсы'!$A$2:$A$139,0)),"")</f>
        <v/>
      </c>
      <c r="F42" s="9">
        <f>IFERROR(INDEX('Тест-кейсы'!$J$2:$J$139,MATCH($A42,'Тест-кейсы'!$A$2:$A$139,0)),"")</f>
        <v/>
      </c>
      <c r="G42" s="17" t="n"/>
      <c r="H42" s="17" t="n"/>
      <c r="I42" s="18" t="n"/>
    </row>
    <row r="43">
      <c r="A43" s="9" t="inlineStr">
        <is>
          <t>STORE-06</t>
        </is>
      </c>
      <c r="B43" s="10">
        <f>IFERROR(INDEX('Тест-кейсы'!$B$2:$B$139,MATCH($A43,'Тест-кейсы'!$A$2:$A$139,0)),"")</f>
        <v/>
      </c>
      <c r="C43" s="10">
        <f>IFERROR(INDEX('Тест-кейсы'!$C$2:$C$139,MATCH($A43,'Тест-кейсы'!$A$2:$A$139,0)),"")</f>
        <v/>
      </c>
      <c r="D43" s="9">
        <f>IFERROR(INDEX('Тест-кейсы'!$G$2:$G$139,MATCH($A43,'Тест-кейсы'!$A$2:$A$139,0)),"")</f>
        <v/>
      </c>
      <c r="E43" s="9">
        <f>IFERROR(INDEX('Тест-кейсы'!$I$2:$I$139,MATCH($A43,'Тест-кейсы'!$A$2:$A$139,0)),"")</f>
        <v/>
      </c>
      <c r="F43" s="9">
        <f>IFERROR(INDEX('Тест-кейсы'!$J$2:$J$139,MATCH($A43,'Тест-кейсы'!$A$2:$A$139,0)),"")</f>
        <v/>
      </c>
      <c r="G43" s="17" t="n"/>
      <c r="H43" s="17" t="n"/>
      <c r="I43" s="18" t="n"/>
    </row>
    <row r="44">
      <c r="A44" s="9" t="inlineStr">
        <is>
          <t>STORE-07</t>
        </is>
      </c>
      <c r="B44" s="10">
        <f>IFERROR(INDEX('Тест-кейсы'!$B$2:$B$139,MATCH($A44,'Тест-кейсы'!$A$2:$A$139,0)),"")</f>
        <v/>
      </c>
      <c r="C44" s="10">
        <f>IFERROR(INDEX('Тест-кейсы'!$C$2:$C$139,MATCH($A44,'Тест-кейсы'!$A$2:$A$139,0)),"")</f>
        <v/>
      </c>
      <c r="D44" s="9">
        <f>IFERROR(INDEX('Тест-кейсы'!$G$2:$G$139,MATCH($A44,'Тест-кейсы'!$A$2:$A$139,0)),"")</f>
        <v/>
      </c>
      <c r="E44" s="9">
        <f>IFERROR(INDEX('Тест-кейсы'!$I$2:$I$139,MATCH($A44,'Тест-кейсы'!$A$2:$A$139,0)),"")</f>
        <v/>
      </c>
      <c r="F44" s="9">
        <f>IFERROR(INDEX('Тест-кейсы'!$J$2:$J$139,MATCH($A44,'Тест-кейсы'!$A$2:$A$139,0)),"")</f>
        <v/>
      </c>
      <c r="G44" s="17" t="n"/>
      <c r="H44" s="17" t="n"/>
      <c r="I44" s="18" t="n"/>
    </row>
    <row r="45">
      <c r="A45" s="9" t="inlineStr">
        <is>
          <t>STORE-08</t>
        </is>
      </c>
      <c r="B45" s="10">
        <f>IFERROR(INDEX('Тест-кейсы'!$B$2:$B$139,MATCH($A45,'Тест-кейсы'!$A$2:$A$139,0)),"")</f>
        <v/>
      </c>
      <c r="C45" s="10">
        <f>IFERROR(INDEX('Тест-кейсы'!$C$2:$C$139,MATCH($A45,'Тест-кейсы'!$A$2:$A$139,0)),"")</f>
        <v/>
      </c>
      <c r="D45" s="9">
        <f>IFERROR(INDEX('Тест-кейсы'!$G$2:$G$139,MATCH($A45,'Тест-кейсы'!$A$2:$A$139,0)),"")</f>
        <v/>
      </c>
      <c r="E45" s="9">
        <f>IFERROR(INDEX('Тест-кейсы'!$I$2:$I$139,MATCH($A45,'Тест-кейсы'!$A$2:$A$139,0)),"")</f>
        <v/>
      </c>
      <c r="F45" s="9">
        <f>IFERROR(INDEX('Тест-кейсы'!$J$2:$J$139,MATCH($A45,'Тест-кейсы'!$A$2:$A$139,0)),"")</f>
        <v/>
      </c>
      <c r="G45" s="17" t="n"/>
      <c r="H45" s="17" t="n"/>
      <c r="I45" s="18" t="n"/>
    </row>
    <row r="46">
      <c r="A46" s="9" t="inlineStr">
        <is>
          <t>SRCH-01</t>
        </is>
      </c>
      <c r="B46" s="10">
        <f>IFERROR(INDEX('Тест-кейсы'!$B$2:$B$139,MATCH($A46,'Тест-кейсы'!$A$2:$A$139,0)),"")</f>
        <v/>
      </c>
      <c r="C46" s="10">
        <f>IFERROR(INDEX('Тест-кейсы'!$C$2:$C$139,MATCH($A46,'Тест-кейсы'!$A$2:$A$139,0)),"")</f>
        <v/>
      </c>
      <c r="D46" s="9">
        <f>IFERROR(INDEX('Тест-кейсы'!$G$2:$G$139,MATCH($A46,'Тест-кейсы'!$A$2:$A$139,0)),"")</f>
        <v/>
      </c>
      <c r="E46" s="9">
        <f>IFERROR(INDEX('Тест-кейсы'!$I$2:$I$139,MATCH($A46,'Тест-кейсы'!$A$2:$A$139,0)),"")</f>
        <v/>
      </c>
      <c r="F46" s="9">
        <f>IFERROR(INDEX('Тест-кейсы'!$J$2:$J$139,MATCH($A46,'Тест-кейсы'!$A$2:$A$139,0)),"")</f>
        <v/>
      </c>
      <c r="G46" s="17" t="n"/>
      <c r="H46" s="17" t="n"/>
      <c r="I46" s="18" t="n"/>
    </row>
    <row r="47">
      <c r="A47" s="9" t="inlineStr">
        <is>
          <t>SRCH-02</t>
        </is>
      </c>
      <c r="B47" s="10">
        <f>IFERROR(INDEX('Тест-кейсы'!$B$2:$B$139,MATCH($A47,'Тест-кейсы'!$A$2:$A$139,0)),"")</f>
        <v/>
      </c>
      <c r="C47" s="10">
        <f>IFERROR(INDEX('Тест-кейсы'!$C$2:$C$139,MATCH($A47,'Тест-кейсы'!$A$2:$A$139,0)),"")</f>
        <v/>
      </c>
      <c r="D47" s="9">
        <f>IFERROR(INDEX('Тест-кейсы'!$G$2:$G$139,MATCH($A47,'Тест-кейсы'!$A$2:$A$139,0)),"")</f>
        <v/>
      </c>
      <c r="E47" s="9">
        <f>IFERROR(INDEX('Тест-кейсы'!$I$2:$I$139,MATCH($A47,'Тест-кейсы'!$A$2:$A$139,0)),"")</f>
        <v/>
      </c>
      <c r="F47" s="9">
        <f>IFERROR(INDEX('Тест-кейсы'!$J$2:$J$139,MATCH($A47,'Тест-кейсы'!$A$2:$A$139,0)),"")</f>
        <v/>
      </c>
      <c r="G47" s="17" t="n"/>
      <c r="H47" s="17" t="n"/>
      <c r="I47" s="18" t="n"/>
    </row>
    <row r="48">
      <c r="A48" s="9" t="inlineStr">
        <is>
          <t>SRCH-03</t>
        </is>
      </c>
      <c r="B48" s="10">
        <f>IFERROR(INDEX('Тест-кейсы'!$B$2:$B$139,MATCH($A48,'Тест-кейсы'!$A$2:$A$139,0)),"")</f>
        <v/>
      </c>
      <c r="C48" s="10">
        <f>IFERROR(INDEX('Тест-кейсы'!$C$2:$C$139,MATCH($A48,'Тест-кейсы'!$A$2:$A$139,0)),"")</f>
        <v/>
      </c>
      <c r="D48" s="9">
        <f>IFERROR(INDEX('Тест-кейсы'!$G$2:$G$139,MATCH($A48,'Тест-кейсы'!$A$2:$A$139,0)),"")</f>
        <v/>
      </c>
      <c r="E48" s="9">
        <f>IFERROR(INDEX('Тест-кейсы'!$I$2:$I$139,MATCH($A48,'Тест-кейсы'!$A$2:$A$139,0)),"")</f>
        <v/>
      </c>
      <c r="F48" s="9">
        <f>IFERROR(INDEX('Тест-кейсы'!$J$2:$J$139,MATCH($A48,'Тест-кейсы'!$A$2:$A$139,0)),"")</f>
        <v/>
      </c>
      <c r="G48" s="17" t="n"/>
      <c r="H48" s="17" t="n"/>
      <c r="I48" s="18" t="n"/>
    </row>
    <row r="49">
      <c r="A49" s="9" t="inlineStr">
        <is>
          <t>SRCH-04</t>
        </is>
      </c>
      <c r="B49" s="10">
        <f>IFERROR(INDEX('Тест-кейсы'!$B$2:$B$139,MATCH($A49,'Тест-кейсы'!$A$2:$A$139,0)),"")</f>
        <v/>
      </c>
      <c r="C49" s="10">
        <f>IFERROR(INDEX('Тест-кейсы'!$C$2:$C$139,MATCH($A49,'Тест-кейсы'!$A$2:$A$139,0)),"")</f>
        <v/>
      </c>
      <c r="D49" s="9">
        <f>IFERROR(INDEX('Тест-кейсы'!$G$2:$G$139,MATCH($A49,'Тест-кейсы'!$A$2:$A$139,0)),"")</f>
        <v/>
      </c>
      <c r="E49" s="9">
        <f>IFERROR(INDEX('Тест-кейсы'!$I$2:$I$139,MATCH($A49,'Тест-кейсы'!$A$2:$A$139,0)),"")</f>
        <v/>
      </c>
      <c r="F49" s="9">
        <f>IFERROR(INDEX('Тест-кейсы'!$J$2:$J$139,MATCH($A49,'Тест-кейсы'!$A$2:$A$139,0)),"")</f>
        <v/>
      </c>
      <c r="G49" s="17" t="n"/>
      <c r="H49" s="17" t="n"/>
      <c r="I49" s="18" t="n"/>
    </row>
    <row r="50">
      <c r="A50" s="9" t="inlineStr">
        <is>
          <t>SRCH-05</t>
        </is>
      </c>
      <c r="B50" s="10">
        <f>IFERROR(INDEX('Тест-кейсы'!$B$2:$B$139,MATCH($A50,'Тест-кейсы'!$A$2:$A$139,0)),"")</f>
        <v/>
      </c>
      <c r="C50" s="10">
        <f>IFERROR(INDEX('Тест-кейсы'!$C$2:$C$139,MATCH($A50,'Тест-кейсы'!$A$2:$A$139,0)),"")</f>
        <v/>
      </c>
      <c r="D50" s="9">
        <f>IFERROR(INDEX('Тест-кейсы'!$G$2:$G$139,MATCH($A50,'Тест-кейсы'!$A$2:$A$139,0)),"")</f>
        <v/>
      </c>
      <c r="E50" s="9">
        <f>IFERROR(INDEX('Тест-кейсы'!$I$2:$I$139,MATCH($A50,'Тест-кейсы'!$A$2:$A$139,0)),"")</f>
        <v/>
      </c>
      <c r="F50" s="9">
        <f>IFERROR(INDEX('Тест-кейсы'!$J$2:$J$139,MATCH($A50,'Тест-кейсы'!$A$2:$A$139,0)),"")</f>
        <v/>
      </c>
      <c r="G50" s="17" t="n"/>
      <c r="H50" s="17" t="n"/>
      <c r="I50" s="18" t="n"/>
    </row>
    <row r="51">
      <c r="A51" s="9" t="inlineStr">
        <is>
          <t>SRCH-06</t>
        </is>
      </c>
      <c r="B51" s="10">
        <f>IFERROR(INDEX('Тест-кейсы'!$B$2:$B$139,MATCH($A51,'Тест-кейсы'!$A$2:$A$139,0)),"")</f>
        <v/>
      </c>
      <c r="C51" s="10">
        <f>IFERROR(INDEX('Тест-кейсы'!$C$2:$C$139,MATCH($A51,'Тест-кейсы'!$A$2:$A$139,0)),"")</f>
        <v/>
      </c>
      <c r="D51" s="9">
        <f>IFERROR(INDEX('Тест-кейсы'!$G$2:$G$139,MATCH($A51,'Тест-кейсы'!$A$2:$A$139,0)),"")</f>
        <v/>
      </c>
      <c r="E51" s="9">
        <f>IFERROR(INDEX('Тест-кейсы'!$I$2:$I$139,MATCH($A51,'Тест-кейсы'!$A$2:$A$139,0)),"")</f>
        <v/>
      </c>
      <c r="F51" s="9">
        <f>IFERROR(INDEX('Тест-кейсы'!$J$2:$J$139,MATCH($A51,'Тест-кейсы'!$A$2:$A$139,0)),"")</f>
        <v/>
      </c>
      <c r="G51" s="17" t="n"/>
      <c r="H51" s="17" t="n"/>
      <c r="I51" s="18" t="n"/>
    </row>
    <row r="52">
      <c r="A52" s="9" t="inlineStr">
        <is>
          <t>SRCH-07</t>
        </is>
      </c>
      <c r="B52" s="10">
        <f>IFERROR(INDEX('Тест-кейсы'!$B$2:$B$139,MATCH($A52,'Тест-кейсы'!$A$2:$A$139,0)),"")</f>
        <v/>
      </c>
      <c r="C52" s="10">
        <f>IFERROR(INDEX('Тест-кейсы'!$C$2:$C$139,MATCH($A52,'Тест-кейсы'!$A$2:$A$139,0)),"")</f>
        <v/>
      </c>
      <c r="D52" s="9">
        <f>IFERROR(INDEX('Тест-кейсы'!$G$2:$G$139,MATCH($A52,'Тест-кейсы'!$A$2:$A$139,0)),"")</f>
        <v/>
      </c>
      <c r="E52" s="9">
        <f>IFERROR(INDEX('Тест-кейсы'!$I$2:$I$139,MATCH($A52,'Тест-кейсы'!$A$2:$A$139,0)),"")</f>
        <v/>
      </c>
      <c r="F52" s="9">
        <f>IFERROR(INDEX('Тест-кейсы'!$J$2:$J$139,MATCH($A52,'Тест-кейсы'!$A$2:$A$139,0)),"")</f>
        <v/>
      </c>
      <c r="G52" s="17" t="n"/>
      <c r="H52" s="17" t="n"/>
      <c r="I52" s="18" t="n"/>
    </row>
    <row r="53">
      <c r="A53" s="9" t="inlineStr">
        <is>
          <t>SRCH-08</t>
        </is>
      </c>
      <c r="B53" s="10">
        <f>IFERROR(INDEX('Тест-кейсы'!$B$2:$B$139,MATCH($A53,'Тест-кейсы'!$A$2:$A$139,0)),"")</f>
        <v/>
      </c>
      <c r="C53" s="10">
        <f>IFERROR(INDEX('Тест-кейсы'!$C$2:$C$139,MATCH($A53,'Тест-кейсы'!$A$2:$A$139,0)),"")</f>
        <v/>
      </c>
      <c r="D53" s="9">
        <f>IFERROR(INDEX('Тест-кейсы'!$G$2:$G$139,MATCH($A53,'Тест-кейсы'!$A$2:$A$139,0)),"")</f>
        <v/>
      </c>
      <c r="E53" s="9">
        <f>IFERROR(INDEX('Тест-кейсы'!$I$2:$I$139,MATCH($A53,'Тест-кейсы'!$A$2:$A$139,0)),"")</f>
        <v/>
      </c>
      <c r="F53" s="9">
        <f>IFERROR(INDEX('Тест-кейсы'!$J$2:$J$139,MATCH($A53,'Тест-кейсы'!$A$2:$A$139,0)),"")</f>
        <v/>
      </c>
      <c r="G53" s="17" t="n"/>
      <c r="H53" s="17" t="n"/>
      <c r="I53" s="18" t="n"/>
    </row>
    <row r="54">
      <c r="A54" s="9" t="inlineStr">
        <is>
          <t>PROD-01</t>
        </is>
      </c>
      <c r="B54" s="10">
        <f>IFERROR(INDEX('Тест-кейсы'!$B$2:$B$139,MATCH($A54,'Тест-кейсы'!$A$2:$A$139,0)),"")</f>
        <v/>
      </c>
      <c r="C54" s="10">
        <f>IFERROR(INDEX('Тест-кейсы'!$C$2:$C$139,MATCH($A54,'Тест-кейсы'!$A$2:$A$139,0)),"")</f>
        <v/>
      </c>
      <c r="D54" s="9">
        <f>IFERROR(INDEX('Тест-кейсы'!$G$2:$G$139,MATCH($A54,'Тест-кейсы'!$A$2:$A$139,0)),"")</f>
        <v/>
      </c>
      <c r="E54" s="9">
        <f>IFERROR(INDEX('Тест-кейсы'!$I$2:$I$139,MATCH($A54,'Тест-кейсы'!$A$2:$A$139,0)),"")</f>
        <v/>
      </c>
      <c r="F54" s="9">
        <f>IFERROR(INDEX('Тест-кейсы'!$J$2:$J$139,MATCH($A54,'Тест-кейсы'!$A$2:$A$139,0)),"")</f>
        <v/>
      </c>
      <c r="G54" s="17" t="n"/>
      <c r="H54" s="17" t="n"/>
      <c r="I54" s="18" t="n"/>
    </row>
    <row r="55">
      <c r="A55" s="9" t="inlineStr">
        <is>
          <t>PROD-02</t>
        </is>
      </c>
      <c r="B55" s="10">
        <f>IFERROR(INDEX('Тест-кейсы'!$B$2:$B$139,MATCH($A55,'Тест-кейсы'!$A$2:$A$139,0)),"")</f>
        <v/>
      </c>
      <c r="C55" s="10">
        <f>IFERROR(INDEX('Тест-кейсы'!$C$2:$C$139,MATCH($A55,'Тест-кейсы'!$A$2:$A$139,0)),"")</f>
        <v/>
      </c>
      <c r="D55" s="9">
        <f>IFERROR(INDEX('Тест-кейсы'!$G$2:$G$139,MATCH($A55,'Тест-кейсы'!$A$2:$A$139,0)),"")</f>
        <v/>
      </c>
      <c r="E55" s="9">
        <f>IFERROR(INDEX('Тест-кейсы'!$I$2:$I$139,MATCH($A55,'Тест-кейсы'!$A$2:$A$139,0)),"")</f>
        <v/>
      </c>
      <c r="F55" s="9">
        <f>IFERROR(INDEX('Тест-кейсы'!$J$2:$J$139,MATCH($A55,'Тест-кейсы'!$A$2:$A$139,0)),"")</f>
        <v/>
      </c>
      <c r="G55" s="17" t="n"/>
      <c r="H55" s="17" t="n"/>
      <c r="I55" s="18" t="n"/>
    </row>
    <row r="56">
      <c r="A56" s="9" t="inlineStr">
        <is>
          <t>PROD-03</t>
        </is>
      </c>
      <c r="B56" s="10">
        <f>IFERROR(INDEX('Тест-кейсы'!$B$2:$B$139,MATCH($A56,'Тест-кейсы'!$A$2:$A$139,0)),"")</f>
        <v/>
      </c>
      <c r="C56" s="10">
        <f>IFERROR(INDEX('Тест-кейсы'!$C$2:$C$139,MATCH($A56,'Тест-кейсы'!$A$2:$A$139,0)),"")</f>
        <v/>
      </c>
      <c r="D56" s="9">
        <f>IFERROR(INDEX('Тест-кейсы'!$G$2:$G$139,MATCH($A56,'Тест-кейсы'!$A$2:$A$139,0)),"")</f>
        <v/>
      </c>
      <c r="E56" s="9">
        <f>IFERROR(INDEX('Тест-кейсы'!$I$2:$I$139,MATCH($A56,'Тест-кейсы'!$A$2:$A$139,0)),"")</f>
        <v/>
      </c>
      <c r="F56" s="9">
        <f>IFERROR(INDEX('Тест-кейсы'!$J$2:$J$139,MATCH($A56,'Тест-кейсы'!$A$2:$A$139,0)),"")</f>
        <v/>
      </c>
      <c r="G56" s="17" t="n"/>
      <c r="H56" s="17" t="n"/>
      <c r="I56" s="18" t="n"/>
    </row>
    <row r="57">
      <c r="A57" s="9" t="inlineStr">
        <is>
          <t>PROD-04</t>
        </is>
      </c>
      <c r="B57" s="10">
        <f>IFERROR(INDEX('Тест-кейсы'!$B$2:$B$139,MATCH($A57,'Тест-кейсы'!$A$2:$A$139,0)),"")</f>
        <v/>
      </c>
      <c r="C57" s="10">
        <f>IFERROR(INDEX('Тест-кейсы'!$C$2:$C$139,MATCH($A57,'Тест-кейсы'!$A$2:$A$139,0)),"")</f>
        <v/>
      </c>
      <c r="D57" s="9">
        <f>IFERROR(INDEX('Тест-кейсы'!$G$2:$G$139,MATCH($A57,'Тест-кейсы'!$A$2:$A$139,0)),"")</f>
        <v/>
      </c>
      <c r="E57" s="9">
        <f>IFERROR(INDEX('Тест-кейсы'!$I$2:$I$139,MATCH($A57,'Тест-кейсы'!$A$2:$A$139,0)),"")</f>
        <v/>
      </c>
      <c r="F57" s="9">
        <f>IFERROR(INDEX('Тест-кейсы'!$J$2:$J$139,MATCH($A57,'Тест-кейсы'!$A$2:$A$139,0)),"")</f>
        <v/>
      </c>
      <c r="G57" s="17" t="n"/>
      <c r="H57" s="17" t="n"/>
      <c r="I57" s="18" t="n"/>
    </row>
    <row r="58">
      <c r="A58" s="9" t="inlineStr">
        <is>
          <t>PROD-05</t>
        </is>
      </c>
      <c r="B58" s="10">
        <f>IFERROR(INDEX('Тест-кейсы'!$B$2:$B$139,MATCH($A58,'Тест-кейсы'!$A$2:$A$139,0)),"")</f>
        <v/>
      </c>
      <c r="C58" s="10">
        <f>IFERROR(INDEX('Тест-кейсы'!$C$2:$C$139,MATCH($A58,'Тест-кейсы'!$A$2:$A$139,0)),"")</f>
        <v/>
      </c>
      <c r="D58" s="9">
        <f>IFERROR(INDEX('Тест-кейсы'!$G$2:$G$139,MATCH($A58,'Тест-кейсы'!$A$2:$A$139,0)),"")</f>
        <v/>
      </c>
      <c r="E58" s="9">
        <f>IFERROR(INDEX('Тест-кейсы'!$I$2:$I$139,MATCH($A58,'Тест-кейсы'!$A$2:$A$139,0)),"")</f>
        <v/>
      </c>
      <c r="F58" s="9">
        <f>IFERROR(INDEX('Тест-кейсы'!$J$2:$J$139,MATCH($A58,'Тест-кейсы'!$A$2:$A$139,0)),"")</f>
        <v/>
      </c>
      <c r="G58" s="17" t="n"/>
      <c r="H58" s="17" t="n"/>
      <c r="I58" s="18" t="n"/>
    </row>
    <row r="59">
      <c r="A59" s="9" t="inlineStr">
        <is>
          <t>PROD-06</t>
        </is>
      </c>
      <c r="B59" s="10">
        <f>IFERROR(INDEX('Тест-кейсы'!$B$2:$B$139,MATCH($A59,'Тест-кейсы'!$A$2:$A$139,0)),"")</f>
        <v/>
      </c>
      <c r="C59" s="10">
        <f>IFERROR(INDEX('Тест-кейсы'!$C$2:$C$139,MATCH($A59,'Тест-кейсы'!$A$2:$A$139,0)),"")</f>
        <v/>
      </c>
      <c r="D59" s="9">
        <f>IFERROR(INDEX('Тест-кейсы'!$G$2:$G$139,MATCH($A59,'Тест-кейсы'!$A$2:$A$139,0)),"")</f>
        <v/>
      </c>
      <c r="E59" s="9">
        <f>IFERROR(INDEX('Тест-кейсы'!$I$2:$I$139,MATCH($A59,'Тест-кейсы'!$A$2:$A$139,0)),"")</f>
        <v/>
      </c>
      <c r="F59" s="9">
        <f>IFERROR(INDEX('Тест-кейсы'!$J$2:$J$139,MATCH($A59,'Тест-кейсы'!$A$2:$A$139,0)),"")</f>
        <v/>
      </c>
      <c r="G59" s="17" t="n"/>
      <c r="H59" s="17" t="n"/>
      <c r="I59" s="18" t="n"/>
    </row>
    <row r="60">
      <c r="A60" s="9" t="inlineStr">
        <is>
          <t>FAV-01</t>
        </is>
      </c>
      <c r="B60" s="10">
        <f>IFERROR(INDEX('Тест-кейсы'!$B$2:$B$139,MATCH($A60,'Тест-кейсы'!$A$2:$A$139,0)),"")</f>
        <v/>
      </c>
      <c r="C60" s="10">
        <f>IFERROR(INDEX('Тест-кейсы'!$C$2:$C$139,MATCH($A60,'Тест-кейсы'!$A$2:$A$139,0)),"")</f>
        <v/>
      </c>
      <c r="D60" s="9">
        <f>IFERROR(INDEX('Тест-кейсы'!$G$2:$G$139,MATCH($A60,'Тест-кейсы'!$A$2:$A$139,0)),"")</f>
        <v/>
      </c>
      <c r="E60" s="9">
        <f>IFERROR(INDEX('Тест-кейсы'!$I$2:$I$139,MATCH($A60,'Тест-кейсы'!$A$2:$A$139,0)),"")</f>
        <v/>
      </c>
      <c r="F60" s="9">
        <f>IFERROR(INDEX('Тест-кейсы'!$J$2:$J$139,MATCH($A60,'Тест-кейсы'!$A$2:$A$139,0)),"")</f>
        <v/>
      </c>
      <c r="G60" s="17" t="n"/>
      <c r="H60" s="17" t="n"/>
      <c r="I60" s="18" t="n"/>
    </row>
    <row r="61">
      <c r="A61" s="9" t="inlineStr">
        <is>
          <t>FAV-02</t>
        </is>
      </c>
      <c r="B61" s="10">
        <f>IFERROR(INDEX('Тест-кейсы'!$B$2:$B$139,MATCH($A61,'Тест-кейсы'!$A$2:$A$139,0)),"")</f>
        <v/>
      </c>
      <c r="C61" s="10">
        <f>IFERROR(INDEX('Тест-кейсы'!$C$2:$C$139,MATCH($A61,'Тест-кейсы'!$A$2:$A$139,0)),"")</f>
        <v/>
      </c>
      <c r="D61" s="9">
        <f>IFERROR(INDEX('Тест-кейсы'!$G$2:$G$139,MATCH($A61,'Тест-кейсы'!$A$2:$A$139,0)),"")</f>
        <v/>
      </c>
      <c r="E61" s="9">
        <f>IFERROR(INDEX('Тест-кейсы'!$I$2:$I$139,MATCH($A61,'Тест-кейсы'!$A$2:$A$139,0)),"")</f>
        <v/>
      </c>
      <c r="F61" s="9">
        <f>IFERROR(INDEX('Тест-кейсы'!$J$2:$J$139,MATCH($A61,'Тест-кейсы'!$A$2:$A$139,0)),"")</f>
        <v/>
      </c>
      <c r="G61" s="17" t="n"/>
      <c r="H61" s="17" t="n"/>
      <c r="I61" s="18" t="n"/>
    </row>
    <row r="62">
      <c r="A62" s="9" t="inlineStr">
        <is>
          <t>FAV-03</t>
        </is>
      </c>
      <c r="B62" s="10">
        <f>IFERROR(INDEX('Тест-кейсы'!$B$2:$B$139,MATCH($A62,'Тест-кейсы'!$A$2:$A$139,0)),"")</f>
        <v/>
      </c>
      <c r="C62" s="10">
        <f>IFERROR(INDEX('Тест-кейсы'!$C$2:$C$139,MATCH($A62,'Тест-кейсы'!$A$2:$A$139,0)),"")</f>
        <v/>
      </c>
      <c r="D62" s="9">
        <f>IFERROR(INDEX('Тест-кейсы'!$G$2:$G$139,MATCH($A62,'Тест-кейсы'!$A$2:$A$139,0)),"")</f>
        <v/>
      </c>
      <c r="E62" s="9">
        <f>IFERROR(INDEX('Тест-кейсы'!$I$2:$I$139,MATCH($A62,'Тест-кейсы'!$A$2:$A$139,0)),"")</f>
        <v/>
      </c>
      <c r="F62" s="9">
        <f>IFERROR(INDEX('Тест-кейсы'!$J$2:$J$139,MATCH($A62,'Тест-кейсы'!$A$2:$A$139,0)),"")</f>
        <v/>
      </c>
      <c r="G62" s="17" t="n"/>
      <c r="H62" s="17" t="n"/>
      <c r="I62" s="18" t="n"/>
    </row>
    <row r="63">
      <c r="A63" s="9" t="inlineStr">
        <is>
          <t>FAV-04</t>
        </is>
      </c>
      <c r="B63" s="10">
        <f>IFERROR(INDEX('Тест-кейсы'!$B$2:$B$139,MATCH($A63,'Тест-кейсы'!$A$2:$A$139,0)),"")</f>
        <v/>
      </c>
      <c r="C63" s="10">
        <f>IFERROR(INDEX('Тест-кейсы'!$C$2:$C$139,MATCH($A63,'Тест-кейсы'!$A$2:$A$139,0)),"")</f>
        <v/>
      </c>
      <c r="D63" s="9">
        <f>IFERROR(INDEX('Тест-кейсы'!$G$2:$G$139,MATCH($A63,'Тест-кейсы'!$A$2:$A$139,0)),"")</f>
        <v/>
      </c>
      <c r="E63" s="9">
        <f>IFERROR(INDEX('Тест-кейсы'!$I$2:$I$139,MATCH($A63,'Тест-кейсы'!$A$2:$A$139,0)),"")</f>
        <v/>
      </c>
      <c r="F63" s="9">
        <f>IFERROR(INDEX('Тест-кейсы'!$J$2:$J$139,MATCH($A63,'Тест-кейсы'!$A$2:$A$139,0)),"")</f>
        <v/>
      </c>
      <c r="G63" s="17" t="n"/>
      <c r="H63" s="17" t="n"/>
      <c r="I63" s="18" t="n"/>
    </row>
    <row r="64">
      <c r="A64" s="9" t="inlineStr">
        <is>
          <t>FAV-05</t>
        </is>
      </c>
      <c r="B64" s="10">
        <f>IFERROR(INDEX('Тест-кейсы'!$B$2:$B$139,MATCH($A64,'Тест-кейсы'!$A$2:$A$139,0)),"")</f>
        <v/>
      </c>
      <c r="C64" s="10">
        <f>IFERROR(INDEX('Тест-кейсы'!$C$2:$C$139,MATCH($A64,'Тест-кейсы'!$A$2:$A$139,0)),"")</f>
        <v/>
      </c>
      <c r="D64" s="9">
        <f>IFERROR(INDEX('Тест-кейсы'!$G$2:$G$139,MATCH($A64,'Тест-кейсы'!$A$2:$A$139,0)),"")</f>
        <v/>
      </c>
      <c r="E64" s="9">
        <f>IFERROR(INDEX('Тест-кейсы'!$I$2:$I$139,MATCH($A64,'Тест-кейсы'!$A$2:$A$139,0)),"")</f>
        <v/>
      </c>
      <c r="F64" s="9">
        <f>IFERROR(INDEX('Тест-кейсы'!$J$2:$J$139,MATCH($A64,'Тест-кейсы'!$A$2:$A$139,0)),"")</f>
        <v/>
      </c>
      <c r="G64" s="17" t="n"/>
      <c r="H64" s="17" t="n"/>
      <c r="I64" s="18" t="n"/>
    </row>
    <row r="65">
      <c r="A65" s="9" t="inlineStr">
        <is>
          <t>CART-01</t>
        </is>
      </c>
      <c r="B65" s="10">
        <f>IFERROR(INDEX('Тест-кейсы'!$B$2:$B$139,MATCH($A65,'Тест-кейсы'!$A$2:$A$139,0)),"")</f>
        <v/>
      </c>
      <c r="C65" s="10">
        <f>IFERROR(INDEX('Тест-кейсы'!$C$2:$C$139,MATCH($A65,'Тест-кейсы'!$A$2:$A$139,0)),"")</f>
        <v/>
      </c>
      <c r="D65" s="9">
        <f>IFERROR(INDEX('Тест-кейсы'!$G$2:$G$139,MATCH($A65,'Тест-кейсы'!$A$2:$A$139,0)),"")</f>
        <v/>
      </c>
      <c r="E65" s="9">
        <f>IFERROR(INDEX('Тест-кейсы'!$I$2:$I$139,MATCH($A65,'Тест-кейсы'!$A$2:$A$139,0)),"")</f>
        <v/>
      </c>
      <c r="F65" s="9">
        <f>IFERROR(INDEX('Тест-кейсы'!$J$2:$J$139,MATCH($A65,'Тест-кейсы'!$A$2:$A$139,0)),"")</f>
        <v/>
      </c>
      <c r="G65" s="17" t="n"/>
      <c r="H65" s="17" t="n"/>
      <c r="I65" s="18" t="n"/>
    </row>
    <row r="66">
      <c r="A66" s="9" t="inlineStr">
        <is>
          <t>CART-02</t>
        </is>
      </c>
      <c r="B66" s="10">
        <f>IFERROR(INDEX('Тест-кейсы'!$B$2:$B$139,MATCH($A66,'Тест-кейсы'!$A$2:$A$139,0)),"")</f>
        <v/>
      </c>
      <c r="C66" s="10">
        <f>IFERROR(INDEX('Тест-кейсы'!$C$2:$C$139,MATCH($A66,'Тест-кейсы'!$A$2:$A$139,0)),"")</f>
        <v/>
      </c>
      <c r="D66" s="9">
        <f>IFERROR(INDEX('Тест-кейсы'!$G$2:$G$139,MATCH($A66,'Тест-кейсы'!$A$2:$A$139,0)),"")</f>
        <v/>
      </c>
      <c r="E66" s="9">
        <f>IFERROR(INDEX('Тест-кейсы'!$I$2:$I$139,MATCH($A66,'Тест-кейсы'!$A$2:$A$139,0)),"")</f>
        <v/>
      </c>
      <c r="F66" s="9">
        <f>IFERROR(INDEX('Тест-кейсы'!$J$2:$J$139,MATCH($A66,'Тест-кейсы'!$A$2:$A$139,0)),"")</f>
        <v/>
      </c>
      <c r="G66" s="17" t="n"/>
      <c r="H66" s="17" t="n"/>
      <c r="I66" s="18" t="n"/>
    </row>
    <row r="67">
      <c r="A67" s="9" t="inlineStr">
        <is>
          <t>CART-03</t>
        </is>
      </c>
      <c r="B67" s="10">
        <f>IFERROR(INDEX('Тест-кейсы'!$B$2:$B$139,MATCH($A67,'Тест-кейсы'!$A$2:$A$139,0)),"")</f>
        <v/>
      </c>
      <c r="C67" s="10">
        <f>IFERROR(INDEX('Тест-кейсы'!$C$2:$C$139,MATCH($A67,'Тест-кейсы'!$A$2:$A$139,0)),"")</f>
        <v/>
      </c>
      <c r="D67" s="9">
        <f>IFERROR(INDEX('Тест-кейсы'!$G$2:$G$139,MATCH($A67,'Тест-кейсы'!$A$2:$A$139,0)),"")</f>
        <v/>
      </c>
      <c r="E67" s="9">
        <f>IFERROR(INDEX('Тест-кейсы'!$I$2:$I$139,MATCH($A67,'Тест-кейсы'!$A$2:$A$139,0)),"")</f>
        <v/>
      </c>
      <c r="F67" s="9">
        <f>IFERROR(INDEX('Тест-кейсы'!$J$2:$J$139,MATCH($A67,'Тест-кейсы'!$A$2:$A$139,0)),"")</f>
        <v/>
      </c>
      <c r="G67" s="17" t="n"/>
      <c r="H67" s="17" t="n"/>
      <c r="I67" s="18" t="n"/>
    </row>
    <row r="68">
      <c r="A68" s="9" t="inlineStr">
        <is>
          <t>CART-04</t>
        </is>
      </c>
      <c r="B68" s="10">
        <f>IFERROR(INDEX('Тест-кейсы'!$B$2:$B$139,MATCH($A68,'Тест-кейсы'!$A$2:$A$139,0)),"")</f>
        <v/>
      </c>
      <c r="C68" s="10">
        <f>IFERROR(INDEX('Тест-кейсы'!$C$2:$C$139,MATCH($A68,'Тест-кейсы'!$A$2:$A$139,0)),"")</f>
        <v/>
      </c>
      <c r="D68" s="9">
        <f>IFERROR(INDEX('Тест-кейсы'!$G$2:$G$139,MATCH($A68,'Тест-кейсы'!$A$2:$A$139,0)),"")</f>
        <v/>
      </c>
      <c r="E68" s="9">
        <f>IFERROR(INDEX('Тест-кейсы'!$I$2:$I$139,MATCH($A68,'Тест-кейсы'!$A$2:$A$139,0)),"")</f>
        <v/>
      </c>
      <c r="F68" s="9">
        <f>IFERROR(INDEX('Тест-кейсы'!$J$2:$J$139,MATCH($A68,'Тест-кейсы'!$A$2:$A$139,0)),"")</f>
        <v/>
      </c>
      <c r="G68" s="17" t="n"/>
      <c r="H68" s="17" t="n"/>
      <c r="I68" s="18" t="n"/>
    </row>
    <row r="69">
      <c r="A69" s="9" t="inlineStr">
        <is>
          <t>CART-05</t>
        </is>
      </c>
      <c r="B69" s="10">
        <f>IFERROR(INDEX('Тест-кейсы'!$B$2:$B$139,MATCH($A69,'Тест-кейсы'!$A$2:$A$139,0)),"")</f>
        <v/>
      </c>
      <c r="C69" s="10">
        <f>IFERROR(INDEX('Тест-кейсы'!$C$2:$C$139,MATCH($A69,'Тест-кейсы'!$A$2:$A$139,0)),"")</f>
        <v/>
      </c>
      <c r="D69" s="9">
        <f>IFERROR(INDEX('Тест-кейсы'!$G$2:$G$139,MATCH($A69,'Тест-кейсы'!$A$2:$A$139,0)),"")</f>
        <v/>
      </c>
      <c r="E69" s="9">
        <f>IFERROR(INDEX('Тест-кейсы'!$I$2:$I$139,MATCH($A69,'Тест-кейсы'!$A$2:$A$139,0)),"")</f>
        <v/>
      </c>
      <c r="F69" s="9">
        <f>IFERROR(INDEX('Тест-кейсы'!$J$2:$J$139,MATCH($A69,'Тест-кейсы'!$A$2:$A$139,0)),"")</f>
        <v/>
      </c>
      <c r="G69" s="17" t="n"/>
      <c r="H69" s="17" t="n"/>
      <c r="I69" s="18" t="n"/>
    </row>
    <row r="70">
      <c r="A70" s="9" t="inlineStr">
        <is>
          <t>CART-06</t>
        </is>
      </c>
      <c r="B70" s="10">
        <f>IFERROR(INDEX('Тест-кейсы'!$B$2:$B$139,MATCH($A70,'Тест-кейсы'!$A$2:$A$139,0)),"")</f>
        <v/>
      </c>
      <c r="C70" s="10">
        <f>IFERROR(INDEX('Тест-кейсы'!$C$2:$C$139,MATCH($A70,'Тест-кейсы'!$A$2:$A$139,0)),"")</f>
        <v/>
      </c>
      <c r="D70" s="9">
        <f>IFERROR(INDEX('Тест-кейсы'!$G$2:$G$139,MATCH($A70,'Тест-кейсы'!$A$2:$A$139,0)),"")</f>
        <v/>
      </c>
      <c r="E70" s="9">
        <f>IFERROR(INDEX('Тест-кейсы'!$I$2:$I$139,MATCH($A70,'Тест-кейсы'!$A$2:$A$139,0)),"")</f>
        <v/>
      </c>
      <c r="F70" s="9">
        <f>IFERROR(INDEX('Тест-кейсы'!$J$2:$J$139,MATCH($A70,'Тест-кейсы'!$A$2:$A$139,0)),"")</f>
        <v/>
      </c>
      <c r="G70" s="17" t="n"/>
      <c r="H70" s="17" t="n"/>
      <c r="I70" s="18" t="n"/>
    </row>
    <row r="71">
      <c r="A71" s="9" t="inlineStr">
        <is>
          <t>CART-07</t>
        </is>
      </c>
      <c r="B71" s="10">
        <f>IFERROR(INDEX('Тест-кейсы'!$B$2:$B$139,MATCH($A71,'Тест-кейсы'!$A$2:$A$139,0)),"")</f>
        <v/>
      </c>
      <c r="C71" s="10">
        <f>IFERROR(INDEX('Тест-кейсы'!$C$2:$C$139,MATCH($A71,'Тест-кейсы'!$A$2:$A$139,0)),"")</f>
        <v/>
      </c>
      <c r="D71" s="9">
        <f>IFERROR(INDEX('Тест-кейсы'!$G$2:$G$139,MATCH($A71,'Тест-кейсы'!$A$2:$A$139,0)),"")</f>
        <v/>
      </c>
      <c r="E71" s="9">
        <f>IFERROR(INDEX('Тест-кейсы'!$I$2:$I$139,MATCH($A71,'Тест-кейсы'!$A$2:$A$139,0)),"")</f>
        <v/>
      </c>
      <c r="F71" s="9">
        <f>IFERROR(INDEX('Тест-кейсы'!$J$2:$J$139,MATCH($A71,'Тест-кейсы'!$A$2:$A$139,0)),"")</f>
        <v/>
      </c>
      <c r="G71" s="17" t="n"/>
      <c r="H71" s="17" t="n"/>
      <c r="I71" s="18" t="n"/>
    </row>
    <row r="72">
      <c r="A72" s="9" t="inlineStr">
        <is>
          <t>CART-08</t>
        </is>
      </c>
      <c r="B72" s="10">
        <f>IFERROR(INDEX('Тест-кейсы'!$B$2:$B$139,MATCH($A72,'Тест-кейсы'!$A$2:$A$139,0)),"")</f>
        <v/>
      </c>
      <c r="C72" s="10">
        <f>IFERROR(INDEX('Тест-кейсы'!$C$2:$C$139,MATCH($A72,'Тест-кейсы'!$A$2:$A$139,0)),"")</f>
        <v/>
      </c>
      <c r="D72" s="9">
        <f>IFERROR(INDEX('Тест-кейсы'!$G$2:$G$139,MATCH($A72,'Тест-кейсы'!$A$2:$A$139,0)),"")</f>
        <v/>
      </c>
      <c r="E72" s="9">
        <f>IFERROR(INDEX('Тест-кейсы'!$I$2:$I$139,MATCH($A72,'Тест-кейсы'!$A$2:$A$139,0)),"")</f>
        <v/>
      </c>
      <c r="F72" s="9">
        <f>IFERROR(INDEX('Тест-кейсы'!$J$2:$J$139,MATCH($A72,'Тест-кейсы'!$A$2:$A$139,0)),"")</f>
        <v/>
      </c>
      <c r="G72" s="17" t="n"/>
      <c r="H72" s="17" t="n"/>
      <c r="I72" s="18" t="n"/>
    </row>
    <row r="73">
      <c r="A73" s="9" t="inlineStr">
        <is>
          <t>CART-09</t>
        </is>
      </c>
      <c r="B73" s="10">
        <f>IFERROR(INDEX('Тест-кейсы'!$B$2:$B$139,MATCH($A73,'Тест-кейсы'!$A$2:$A$139,0)),"")</f>
        <v/>
      </c>
      <c r="C73" s="10">
        <f>IFERROR(INDEX('Тест-кейсы'!$C$2:$C$139,MATCH($A73,'Тест-кейсы'!$A$2:$A$139,0)),"")</f>
        <v/>
      </c>
      <c r="D73" s="9">
        <f>IFERROR(INDEX('Тест-кейсы'!$G$2:$G$139,MATCH($A73,'Тест-кейсы'!$A$2:$A$139,0)),"")</f>
        <v/>
      </c>
      <c r="E73" s="9">
        <f>IFERROR(INDEX('Тест-кейсы'!$I$2:$I$139,MATCH($A73,'Тест-кейсы'!$A$2:$A$139,0)),"")</f>
        <v/>
      </c>
      <c r="F73" s="9">
        <f>IFERROR(INDEX('Тест-кейсы'!$J$2:$J$139,MATCH($A73,'Тест-кейсы'!$A$2:$A$139,0)),"")</f>
        <v/>
      </c>
      <c r="G73" s="17" t="n"/>
      <c r="H73" s="17" t="n"/>
      <c r="I73" s="18" t="n"/>
    </row>
    <row r="74">
      <c r="A74" s="9" t="inlineStr">
        <is>
          <t>CART-10</t>
        </is>
      </c>
      <c r="B74" s="10">
        <f>IFERROR(INDEX('Тест-кейсы'!$B$2:$B$139,MATCH($A74,'Тест-кейсы'!$A$2:$A$139,0)),"")</f>
        <v/>
      </c>
      <c r="C74" s="10">
        <f>IFERROR(INDEX('Тест-кейсы'!$C$2:$C$139,MATCH($A74,'Тест-кейсы'!$A$2:$A$139,0)),"")</f>
        <v/>
      </c>
      <c r="D74" s="9">
        <f>IFERROR(INDEX('Тест-кейсы'!$G$2:$G$139,MATCH($A74,'Тест-кейсы'!$A$2:$A$139,0)),"")</f>
        <v/>
      </c>
      <c r="E74" s="9">
        <f>IFERROR(INDEX('Тест-кейсы'!$I$2:$I$139,MATCH($A74,'Тест-кейсы'!$A$2:$A$139,0)),"")</f>
        <v/>
      </c>
      <c r="F74" s="9">
        <f>IFERROR(INDEX('Тест-кейсы'!$J$2:$J$139,MATCH($A74,'Тест-кейсы'!$A$2:$A$139,0)),"")</f>
        <v/>
      </c>
      <c r="G74" s="17" t="n"/>
      <c r="H74" s="17" t="n"/>
      <c r="I74" s="18" t="n"/>
    </row>
    <row r="75">
      <c r="A75" s="9" t="inlineStr">
        <is>
          <t>CHK-01</t>
        </is>
      </c>
      <c r="B75" s="10">
        <f>IFERROR(INDEX('Тест-кейсы'!$B$2:$B$139,MATCH($A75,'Тест-кейсы'!$A$2:$A$139,0)),"")</f>
        <v/>
      </c>
      <c r="C75" s="10">
        <f>IFERROR(INDEX('Тест-кейсы'!$C$2:$C$139,MATCH($A75,'Тест-кейсы'!$A$2:$A$139,0)),"")</f>
        <v/>
      </c>
      <c r="D75" s="9">
        <f>IFERROR(INDEX('Тест-кейсы'!$G$2:$G$139,MATCH($A75,'Тест-кейсы'!$A$2:$A$139,0)),"")</f>
        <v/>
      </c>
      <c r="E75" s="9">
        <f>IFERROR(INDEX('Тест-кейсы'!$I$2:$I$139,MATCH($A75,'Тест-кейсы'!$A$2:$A$139,0)),"")</f>
        <v/>
      </c>
      <c r="F75" s="9">
        <f>IFERROR(INDEX('Тест-кейсы'!$J$2:$J$139,MATCH($A75,'Тест-кейсы'!$A$2:$A$139,0)),"")</f>
        <v/>
      </c>
      <c r="G75" s="17" t="n"/>
      <c r="H75" s="17" t="n"/>
      <c r="I75" s="18" t="n"/>
    </row>
    <row r="76">
      <c r="A76" s="9" t="inlineStr">
        <is>
          <t>CHK-02</t>
        </is>
      </c>
      <c r="B76" s="10">
        <f>IFERROR(INDEX('Тест-кейсы'!$B$2:$B$139,MATCH($A76,'Тест-кейсы'!$A$2:$A$139,0)),"")</f>
        <v/>
      </c>
      <c r="C76" s="10">
        <f>IFERROR(INDEX('Тест-кейсы'!$C$2:$C$139,MATCH($A76,'Тест-кейсы'!$A$2:$A$139,0)),"")</f>
        <v/>
      </c>
      <c r="D76" s="9">
        <f>IFERROR(INDEX('Тест-кейсы'!$G$2:$G$139,MATCH($A76,'Тест-кейсы'!$A$2:$A$139,0)),"")</f>
        <v/>
      </c>
      <c r="E76" s="9">
        <f>IFERROR(INDEX('Тест-кейсы'!$I$2:$I$139,MATCH($A76,'Тест-кейсы'!$A$2:$A$139,0)),"")</f>
        <v/>
      </c>
      <c r="F76" s="9">
        <f>IFERROR(INDEX('Тест-кейсы'!$J$2:$J$139,MATCH($A76,'Тест-кейсы'!$A$2:$A$139,0)),"")</f>
        <v/>
      </c>
      <c r="G76" s="17" t="n"/>
      <c r="H76" s="17" t="n"/>
      <c r="I76" s="18" t="n"/>
    </row>
    <row r="77">
      <c r="A77" s="9" t="inlineStr">
        <is>
          <t>CHK-03</t>
        </is>
      </c>
      <c r="B77" s="10">
        <f>IFERROR(INDEX('Тест-кейсы'!$B$2:$B$139,MATCH($A77,'Тест-кейсы'!$A$2:$A$139,0)),"")</f>
        <v/>
      </c>
      <c r="C77" s="10">
        <f>IFERROR(INDEX('Тест-кейсы'!$C$2:$C$139,MATCH($A77,'Тест-кейсы'!$A$2:$A$139,0)),"")</f>
        <v/>
      </c>
      <c r="D77" s="9">
        <f>IFERROR(INDEX('Тест-кейсы'!$G$2:$G$139,MATCH($A77,'Тест-кейсы'!$A$2:$A$139,0)),"")</f>
        <v/>
      </c>
      <c r="E77" s="9">
        <f>IFERROR(INDEX('Тест-кейсы'!$I$2:$I$139,MATCH($A77,'Тест-кейсы'!$A$2:$A$139,0)),"")</f>
        <v/>
      </c>
      <c r="F77" s="9">
        <f>IFERROR(INDEX('Тест-кейсы'!$J$2:$J$139,MATCH($A77,'Тест-кейсы'!$A$2:$A$139,0)),"")</f>
        <v/>
      </c>
      <c r="G77" s="17" t="n"/>
      <c r="H77" s="17" t="n"/>
      <c r="I77" s="18" t="n"/>
    </row>
    <row r="78">
      <c r="A78" s="9" t="inlineStr">
        <is>
          <t>CHK-04</t>
        </is>
      </c>
      <c r="B78" s="10">
        <f>IFERROR(INDEX('Тест-кейсы'!$B$2:$B$139,MATCH($A78,'Тест-кейсы'!$A$2:$A$139,0)),"")</f>
        <v/>
      </c>
      <c r="C78" s="10">
        <f>IFERROR(INDEX('Тест-кейсы'!$C$2:$C$139,MATCH($A78,'Тест-кейсы'!$A$2:$A$139,0)),"")</f>
        <v/>
      </c>
      <c r="D78" s="9">
        <f>IFERROR(INDEX('Тест-кейсы'!$G$2:$G$139,MATCH($A78,'Тест-кейсы'!$A$2:$A$139,0)),"")</f>
        <v/>
      </c>
      <c r="E78" s="9">
        <f>IFERROR(INDEX('Тест-кейсы'!$I$2:$I$139,MATCH($A78,'Тест-кейсы'!$A$2:$A$139,0)),"")</f>
        <v/>
      </c>
      <c r="F78" s="9">
        <f>IFERROR(INDEX('Тест-кейсы'!$J$2:$J$139,MATCH($A78,'Тест-кейсы'!$A$2:$A$139,0)),"")</f>
        <v/>
      </c>
      <c r="G78" s="17" t="n"/>
      <c r="H78" s="17" t="n"/>
      <c r="I78" s="18" t="n"/>
    </row>
    <row r="79">
      <c r="A79" s="9" t="inlineStr">
        <is>
          <t>CHK-05</t>
        </is>
      </c>
      <c r="B79" s="10">
        <f>IFERROR(INDEX('Тест-кейсы'!$B$2:$B$139,MATCH($A79,'Тест-кейсы'!$A$2:$A$139,0)),"")</f>
        <v/>
      </c>
      <c r="C79" s="10">
        <f>IFERROR(INDEX('Тест-кейсы'!$C$2:$C$139,MATCH($A79,'Тест-кейсы'!$A$2:$A$139,0)),"")</f>
        <v/>
      </c>
      <c r="D79" s="9">
        <f>IFERROR(INDEX('Тест-кейсы'!$G$2:$G$139,MATCH($A79,'Тест-кейсы'!$A$2:$A$139,0)),"")</f>
        <v/>
      </c>
      <c r="E79" s="9">
        <f>IFERROR(INDEX('Тест-кейсы'!$I$2:$I$139,MATCH($A79,'Тест-кейсы'!$A$2:$A$139,0)),"")</f>
        <v/>
      </c>
      <c r="F79" s="9">
        <f>IFERROR(INDEX('Тест-кейсы'!$J$2:$J$139,MATCH($A79,'Тест-кейсы'!$A$2:$A$139,0)),"")</f>
        <v/>
      </c>
      <c r="G79" s="17" t="n"/>
      <c r="H79" s="17" t="n"/>
      <c r="I79" s="18" t="n"/>
    </row>
    <row r="80">
      <c r="A80" s="9" t="inlineStr">
        <is>
          <t>CHK-06</t>
        </is>
      </c>
      <c r="B80" s="10">
        <f>IFERROR(INDEX('Тест-кейсы'!$B$2:$B$139,MATCH($A80,'Тест-кейсы'!$A$2:$A$139,0)),"")</f>
        <v/>
      </c>
      <c r="C80" s="10">
        <f>IFERROR(INDEX('Тест-кейсы'!$C$2:$C$139,MATCH($A80,'Тест-кейсы'!$A$2:$A$139,0)),"")</f>
        <v/>
      </c>
      <c r="D80" s="9">
        <f>IFERROR(INDEX('Тест-кейсы'!$G$2:$G$139,MATCH($A80,'Тест-кейсы'!$A$2:$A$139,0)),"")</f>
        <v/>
      </c>
      <c r="E80" s="9">
        <f>IFERROR(INDEX('Тест-кейсы'!$I$2:$I$139,MATCH($A80,'Тест-кейсы'!$A$2:$A$139,0)),"")</f>
        <v/>
      </c>
      <c r="F80" s="9">
        <f>IFERROR(INDEX('Тест-кейсы'!$J$2:$J$139,MATCH($A80,'Тест-кейсы'!$A$2:$A$139,0)),"")</f>
        <v/>
      </c>
      <c r="G80" s="17" t="n"/>
      <c r="H80" s="17" t="n"/>
      <c r="I80" s="18" t="n"/>
    </row>
    <row r="81">
      <c r="A81" s="9" t="inlineStr">
        <is>
          <t>CHK-07</t>
        </is>
      </c>
      <c r="B81" s="10">
        <f>IFERROR(INDEX('Тест-кейсы'!$B$2:$B$139,MATCH($A81,'Тест-кейсы'!$A$2:$A$139,0)),"")</f>
        <v/>
      </c>
      <c r="C81" s="10">
        <f>IFERROR(INDEX('Тест-кейсы'!$C$2:$C$139,MATCH($A81,'Тест-кейсы'!$A$2:$A$139,0)),"")</f>
        <v/>
      </c>
      <c r="D81" s="9">
        <f>IFERROR(INDEX('Тест-кейсы'!$G$2:$G$139,MATCH($A81,'Тест-кейсы'!$A$2:$A$139,0)),"")</f>
        <v/>
      </c>
      <c r="E81" s="9">
        <f>IFERROR(INDEX('Тест-кейсы'!$I$2:$I$139,MATCH($A81,'Тест-кейсы'!$A$2:$A$139,0)),"")</f>
        <v/>
      </c>
      <c r="F81" s="9">
        <f>IFERROR(INDEX('Тест-кейсы'!$J$2:$J$139,MATCH($A81,'Тест-кейсы'!$A$2:$A$139,0)),"")</f>
        <v/>
      </c>
      <c r="G81" s="17" t="n"/>
      <c r="H81" s="17" t="n"/>
      <c r="I81" s="18" t="n"/>
    </row>
    <row r="82">
      <c r="A82" s="9" t="inlineStr">
        <is>
          <t>CHK-08</t>
        </is>
      </c>
      <c r="B82" s="10">
        <f>IFERROR(INDEX('Тест-кейсы'!$B$2:$B$139,MATCH($A82,'Тест-кейсы'!$A$2:$A$139,0)),"")</f>
        <v/>
      </c>
      <c r="C82" s="10">
        <f>IFERROR(INDEX('Тест-кейсы'!$C$2:$C$139,MATCH($A82,'Тест-кейсы'!$A$2:$A$139,0)),"")</f>
        <v/>
      </c>
      <c r="D82" s="9">
        <f>IFERROR(INDEX('Тест-кейсы'!$G$2:$G$139,MATCH($A82,'Тест-кейсы'!$A$2:$A$139,0)),"")</f>
        <v/>
      </c>
      <c r="E82" s="9">
        <f>IFERROR(INDEX('Тест-кейсы'!$I$2:$I$139,MATCH($A82,'Тест-кейсы'!$A$2:$A$139,0)),"")</f>
        <v/>
      </c>
      <c r="F82" s="9">
        <f>IFERROR(INDEX('Тест-кейсы'!$J$2:$J$139,MATCH($A82,'Тест-кейсы'!$A$2:$A$139,0)),"")</f>
        <v/>
      </c>
      <c r="G82" s="17" t="n"/>
      <c r="H82" s="17" t="n"/>
      <c r="I82" s="18" t="n"/>
    </row>
    <row r="83">
      <c r="A83" s="9" t="inlineStr">
        <is>
          <t>CHK-09</t>
        </is>
      </c>
      <c r="B83" s="10">
        <f>IFERROR(INDEX('Тест-кейсы'!$B$2:$B$139,MATCH($A83,'Тест-кейсы'!$A$2:$A$139,0)),"")</f>
        <v/>
      </c>
      <c r="C83" s="10">
        <f>IFERROR(INDEX('Тест-кейсы'!$C$2:$C$139,MATCH($A83,'Тест-кейсы'!$A$2:$A$139,0)),"")</f>
        <v/>
      </c>
      <c r="D83" s="9">
        <f>IFERROR(INDEX('Тест-кейсы'!$G$2:$G$139,MATCH($A83,'Тест-кейсы'!$A$2:$A$139,0)),"")</f>
        <v/>
      </c>
      <c r="E83" s="9">
        <f>IFERROR(INDEX('Тест-кейсы'!$I$2:$I$139,MATCH($A83,'Тест-кейсы'!$A$2:$A$139,0)),"")</f>
        <v/>
      </c>
      <c r="F83" s="9">
        <f>IFERROR(INDEX('Тест-кейсы'!$J$2:$J$139,MATCH($A83,'Тест-кейсы'!$A$2:$A$139,0)),"")</f>
        <v/>
      </c>
      <c r="G83" s="17" t="n"/>
      <c r="H83" s="17" t="n"/>
      <c r="I83" s="18" t="n"/>
    </row>
    <row r="84">
      <c r="A84" s="9" t="inlineStr">
        <is>
          <t>CHK-10</t>
        </is>
      </c>
      <c r="B84" s="10">
        <f>IFERROR(INDEX('Тест-кейсы'!$B$2:$B$139,MATCH($A84,'Тест-кейсы'!$A$2:$A$139,0)),"")</f>
        <v/>
      </c>
      <c r="C84" s="10">
        <f>IFERROR(INDEX('Тест-кейсы'!$C$2:$C$139,MATCH($A84,'Тест-кейсы'!$A$2:$A$139,0)),"")</f>
        <v/>
      </c>
      <c r="D84" s="9">
        <f>IFERROR(INDEX('Тест-кейсы'!$G$2:$G$139,MATCH($A84,'Тест-кейсы'!$A$2:$A$139,0)),"")</f>
        <v/>
      </c>
      <c r="E84" s="9">
        <f>IFERROR(INDEX('Тест-кейсы'!$I$2:$I$139,MATCH($A84,'Тест-кейсы'!$A$2:$A$139,0)),"")</f>
        <v/>
      </c>
      <c r="F84" s="9">
        <f>IFERROR(INDEX('Тест-кейсы'!$J$2:$J$139,MATCH($A84,'Тест-кейсы'!$A$2:$A$139,0)),"")</f>
        <v/>
      </c>
      <c r="G84" s="17" t="n"/>
      <c r="H84" s="17" t="n"/>
      <c r="I84" s="18" t="n"/>
    </row>
    <row r="85">
      <c r="A85" s="9" t="inlineStr">
        <is>
          <t>CHK-11</t>
        </is>
      </c>
      <c r="B85" s="10">
        <f>IFERROR(INDEX('Тест-кейсы'!$B$2:$B$139,MATCH($A85,'Тест-кейсы'!$A$2:$A$139,0)),"")</f>
        <v/>
      </c>
      <c r="C85" s="10">
        <f>IFERROR(INDEX('Тест-кейсы'!$C$2:$C$139,MATCH($A85,'Тест-кейсы'!$A$2:$A$139,0)),"")</f>
        <v/>
      </c>
      <c r="D85" s="9">
        <f>IFERROR(INDEX('Тест-кейсы'!$G$2:$G$139,MATCH($A85,'Тест-кейсы'!$A$2:$A$139,0)),"")</f>
        <v/>
      </c>
      <c r="E85" s="9">
        <f>IFERROR(INDEX('Тест-кейсы'!$I$2:$I$139,MATCH($A85,'Тест-кейсы'!$A$2:$A$139,0)),"")</f>
        <v/>
      </c>
      <c r="F85" s="9">
        <f>IFERROR(INDEX('Тест-кейсы'!$J$2:$J$139,MATCH($A85,'Тест-кейсы'!$A$2:$A$139,0)),"")</f>
        <v/>
      </c>
      <c r="G85" s="17" t="n"/>
      <c r="H85" s="17" t="n"/>
      <c r="I85" s="18" t="n"/>
    </row>
    <row r="86">
      <c r="A86" s="9" t="inlineStr">
        <is>
          <t>CHK-12</t>
        </is>
      </c>
      <c r="B86" s="10">
        <f>IFERROR(INDEX('Тест-кейсы'!$B$2:$B$139,MATCH($A86,'Тест-кейсы'!$A$2:$A$139,0)),"")</f>
        <v/>
      </c>
      <c r="C86" s="10">
        <f>IFERROR(INDEX('Тест-кейсы'!$C$2:$C$139,MATCH($A86,'Тест-кейсы'!$A$2:$A$139,0)),"")</f>
        <v/>
      </c>
      <c r="D86" s="9">
        <f>IFERROR(INDEX('Тест-кейсы'!$G$2:$G$139,MATCH($A86,'Тест-кейсы'!$A$2:$A$139,0)),"")</f>
        <v/>
      </c>
      <c r="E86" s="9">
        <f>IFERROR(INDEX('Тест-кейсы'!$I$2:$I$139,MATCH($A86,'Тест-кейсы'!$A$2:$A$139,0)),"")</f>
        <v/>
      </c>
      <c r="F86" s="9">
        <f>IFERROR(INDEX('Тест-кейсы'!$J$2:$J$139,MATCH($A86,'Тест-кейсы'!$A$2:$A$139,0)),"")</f>
        <v/>
      </c>
      <c r="G86" s="17" t="n"/>
      <c r="H86" s="17" t="n"/>
      <c r="I86" s="18" t="n"/>
    </row>
    <row r="87">
      <c r="A87" s="9" t="inlineStr">
        <is>
          <t>CHK-13</t>
        </is>
      </c>
      <c r="B87" s="10">
        <f>IFERROR(INDEX('Тест-кейсы'!$B$2:$B$139,MATCH($A87,'Тест-кейсы'!$A$2:$A$139,0)),"")</f>
        <v/>
      </c>
      <c r="C87" s="10">
        <f>IFERROR(INDEX('Тест-кейсы'!$C$2:$C$139,MATCH($A87,'Тест-кейсы'!$A$2:$A$139,0)),"")</f>
        <v/>
      </c>
      <c r="D87" s="9">
        <f>IFERROR(INDEX('Тест-кейсы'!$G$2:$G$139,MATCH($A87,'Тест-кейсы'!$A$2:$A$139,0)),"")</f>
        <v/>
      </c>
      <c r="E87" s="9">
        <f>IFERROR(INDEX('Тест-кейсы'!$I$2:$I$139,MATCH($A87,'Тест-кейсы'!$A$2:$A$139,0)),"")</f>
        <v/>
      </c>
      <c r="F87" s="9">
        <f>IFERROR(INDEX('Тест-кейсы'!$J$2:$J$139,MATCH($A87,'Тест-кейсы'!$A$2:$A$139,0)),"")</f>
        <v/>
      </c>
      <c r="G87" s="17" t="n"/>
      <c r="H87" s="17" t="n"/>
      <c r="I87" s="18" t="n"/>
    </row>
    <row r="88">
      <c r="A88" s="9" t="inlineStr">
        <is>
          <t>CHK-14</t>
        </is>
      </c>
      <c r="B88" s="10">
        <f>IFERROR(INDEX('Тест-кейсы'!$B$2:$B$139,MATCH($A88,'Тест-кейсы'!$A$2:$A$139,0)),"")</f>
        <v/>
      </c>
      <c r="C88" s="10">
        <f>IFERROR(INDEX('Тест-кейсы'!$C$2:$C$139,MATCH($A88,'Тест-кейсы'!$A$2:$A$139,0)),"")</f>
        <v/>
      </c>
      <c r="D88" s="9">
        <f>IFERROR(INDEX('Тест-кейсы'!$G$2:$G$139,MATCH($A88,'Тест-кейсы'!$A$2:$A$139,0)),"")</f>
        <v/>
      </c>
      <c r="E88" s="9">
        <f>IFERROR(INDEX('Тест-кейсы'!$I$2:$I$139,MATCH($A88,'Тест-кейсы'!$A$2:$A$139,0)),"")</f>
        <v/>
      </c>
      <c r="F88" s="9">
        <f>IFERROR(INDEX('Тест-кейсы'!$J$2:$J$139,MATCH($A88,'Тест-кейсы'!$A$2:$A$139,0)),"")</f>
        <v/>
      </c>
      <c r="G88" s="17" t="n"/>
      <c r="H88" s="17" t="n"/>
      <c r="I88" s="18" t="n"/>
    </row>
    <row r="89">
      <c r="A89" s="9" t="inlineStr">
        <is>
          <t>CHK-15</t>
        </is>
      </c>
      <c r="B89" s="10">
        <f>IFERROR(INDEX('Тест-кейсы'!$B$2:$B$139,MATCH($A89,'Тест-кейсы'!$A$2:$A$139,0)),"")</f>
        <v/>
      </c>
      <c r="C89" s="10">
        <f>IFERROR(INDEX('Тест-кейсы'!$C$2:$C$139,MATCH($A89,'Тест-кейсы'!$A$2:$A$139,0)),"")</f>
        <v/>
      </c>
      <c r="D89" s="9">
        <f>IFERROR(INDEX('Тест-кейсы'!$G$2:$G$139,MATCH($A89,'Тест-кейсы'!$A$2:$A$139,0)),"")</f>
        <v/>
      </c>
      <c r="E89" s="9">
        <f>IFERROR(INDEX('Тест-кейсы'!$I$2:$I$139,MATCH($A89,'Тест-кейсы'!$A$2:$A$139,0)),"")</f>
        <v/>
      </c>
      <c r="F89" s="9">
        <f>IFERROR(INDEX('Тест-кейсы'!$J$2:$J$139,MATCH($A89,'Тест-кейсы'!$A$2:$A$139,0)),"")</f>
        <v/>
      </c>
      <c r="G89" s="17" t="n"/>
      <c r="H89" s="17" t="n"/>
      <c r="I89" s="18" t="n"/>
    </row>
    <row r="90">
      <c r="A90" s="9" t="inlineStr">
        <is>
          <t>ORD-01</t>
        </is>
      </c>
      <c r="B90" s="10">
        <f>IFERROR(INDEX('Тест-кейсы'!$B$2:$B$139,MATCH($A90,'Тест-кейсы'!$A$2:$A$139,0)),"")</f>
        <v/>
      </c>
      <c r="C90" s="10">
        <f>IFERROR(INDEX('Тест-кейсы'!$C$2:$C$139,MATCH($A90,'Тест-кейсы'!$A$2:$A$139,0)),"")</f>
        <v/>
      </c>
      <c r="D90" s="9">
        <f>IFERROR(INDEX('Тест-кейсы'!$G$2:$G$139,MATCH($A90,'Тест-кейсы'!$A$2:$A$139,0)),"")</f>
        <v/>
      </c>
      <c r="E90" s="9">
        <f>IFERROR(INDEX('Тест-кейсы'!$I$2:$I$139,MATCH($A90,'Тест-кейсы'!$A$2:$A$139,0)),"")</f>
        <v/>
      </c>
      <c r="F90" s="9">
        <f>IFERROR(INDEX('Тест-кейсы'!$J$2:$J$139,MATCH($A90,'Тест-кейсы'!$A$2:$A$139,0)),"")</f>
        <v/>
      </c>
      <c r="G90" s="17" t="n"/>
      <c r="H90" s="17" t="n"/>
      <c r="I90" s="18" t="n"/>
    </row>
    <row r="91">
      <c r="A91" s="9" t="inlineStr">
        <is>
          <t>ORD-02</t>
        </is>
      </c>
      <c r="B91" s="10">
        <f>IFERROR(INDEX('Тест-кейсы'!$B$2:$B$139,MATCH($A91,'Тест-кейсы'!$A$2:$A$139,0)),"")</f>
        <v/>
      </c>
      <c r="C91" s="10">
        <f>IFERROR(INDEX('Тест-кейсы'!$C$2:$C$139,MATCH($A91,'Тест-кейсы'!$A$2:$A$139,0)),"")</f>
        <v/>
      </c>
      <c r="D91" s="9">
        <f>IFERROR(INDEX('Тест-кейсы'!$G$2:$G$139,MATCH($A91,'Тест-кейсы'!$A$2:$A$139,0)),"")</f>
        <v/>
      </c>
      <c r="E91" s="9">
        <f>IFERROR(INDEX('Тест-кейсы'!$I$2:$I$139,MATCH($A91,'Тест-кейсы'!$A$2:$A$139,0)),"")</f>
        <v/>
      </c>
      <c r="F91" s="9">
        <f>IFERROR(INDEX('Тест-кейсы'!$J$2:$J$139,MATCH($A91,'Тест-кейсы'!$A$2:$A$139,0)),"")</f>
        <v/>
      </c>
      <c r="G91" s="17" t="n"/>
      <c r="H91" s="17" t="n"/>
      <c r="I91" s="18" t="n"/>
    </row>
    <row r="92">
      <c r="A92" s="9" t="inlineStr">
        <is>
          <t>ORD-03</t>
        </is>
      </c>
      <c r="B92" s="10">
        <f>IFERROR(INDEX('Тест-кейсы'!$B$2:$B$139,MATCH($A92,'Тест-кейсы'!$A$2:$A$139,0)),"")</f>
        <v/>
      </c>
      <c r="C92" s="10">
        <f>IFERROR(INDEX('Тест-кейсы'!$C$2:$C$139,MATCH($A92,'Тест-кейсы'!$A$2:$A$139,0)),"")</f>
        <v/>
      </c>
      <c r="D92" s="9">
        <f>IFERROR(INDEX('Тест-кейсы'!$G$2:$G$139,MATCH($A92,'Тест-кейсы'!$A$2:$A$139,0)),"")</f>
        <v/>
      </c>
      <c r="E92" s="9">
        <f>IFERROR(INDEX('Тест-кейсы'!$I$2:$I$139,MATCH($A92,'Тест-кейсы'!$A$2:$A$139,0)),"")</f>
        <v/>
      </c>
      <c r="F92" s="9">
        <f>IFERROR(INDEX('Тест-кейсы'!$J$2:$J$139,MATCH($A92,'Тест-кейсы'!$A$2:$A$139,0)),"")</f>
        <v/>
      </c>
      <c r="G92" s="17" t="n"/>
      <c r="H92" s="17" t="n"/>
      <c r="I92" s="18" t="n"/>
    </row>
    <row r="93">
      <c r="A93" s="9" t="inlineStr">
        <is>
          <t>ORD-04</t>
        </is>
      </c>
      <c r="B93" s="10">
        <f>IFERROR(INDEX('Тест-кейсы'!$B$2:$B$139,MATCH($A93,'Тест-кейсы'!$A$2:$A$139,0)),"")</f>
        <v/>
      </c>
      <c r="C93" s="10">
        <f>IFERROR(INDEX('Тест-кейсы'!$C$2:$C$139,MATCH($A93,'Тест-кейсы'!$A$2:$A$139,0)),"")</f>
        <v/>
      </c>
      <c r="D93" s="9">
        <f>IFERROR(INDEX('Тест-кейсы'!$G$2:$G$139,MATCH($A93,'Тест-кейсы'!$A$2:$A$139,0)),"")</f>
        <v/>
      </c>
      <c r="E93" s="9">
        <f>IFERROR(INDEX('Тест-кейсы'!$I$2:$I$139,MATCH($A93,'Тест-кейсы'!$A$2:$A$139,0)),"")</f>
        <v/>
      </c>
      <c r="F93" s="9">
        <f>IFERROR(INDEX('Тест-кейсы'!$J$2:$J$139,MATCH($A93,'Тест-кейсы'!$A$2:$A$139,0)),"")</f>
        <v/>
      </c>
      <c r="G93" s="17" t="n"/>
      <c r="H93" s="17" t="n"/>
      <c r="I93" s="18" t="n"/>
    </row>
    <row r="94">
      <c r="A94" s="9" t="inlineStr">
        <is>
          <t>ORD-05</t>
        </is>
      </c>
      <c r="B94" s="10">
        <f>IFERROR(INDEX('Тест-кейсы'!$B$2:$B$139,MATCH($A94,'Тест-кейсы'!$A$2:$A$139,0)),"")</f>
        <v/>
      </c>
      <c r="C94" s="10">
        <f>IFERROR(INDEX('Тест-кейсы'!$C$2:$C$139,MATCH($A94,'Тест-кейсы'!$A$2:$A$139,0)),"")</f>
        <v/>
      </c>
      <c r="D94" s="9">
        <f>IFERROR(INDEX('Тест-кейсы'!$G$2:$G$139,MATCH($A94,'Тест-кейсы'!$A$2:$A$139,0)),"")</f>
        <v/>
      </c>
      <c r="E94" s="9">
        <f>IFERROR(INDEX('Тест-кейсы'!$I$2:$I$139,MATCH($A94,'Тест-кейсы'!$A$2:$A$139,0)),"")</f>
        <v/>
      </c>
      <c r="F94" s="9">
        <f>IFERROR(INDEX('Тест-кейсы'!$J$2:$J$139,MATCH($A94,'Тест-кейсы'!$A$2:$A$139,0)),"")</f>
        <v/>
      </c>
      <c r="G94" s="17" t="n"/>
      <c r="H94" s="17" t="n"/>
      <c r="I94" s="18" t="n"/>
    </row>
    <row r="95">
      <c r="A95" s="9" t="inlineStr">
        <is>
          <t>ORD-06</t>
        </is>
      </c>
      <c r="B95" s="10">
        <f>IFERROR(INDEX('Тест-кейсы'!$B$2:$B$139,MATCH($A95,'Тест-кейсы'!$A$2:$A$139,0)),"")</f>
        <v/>
      </c>
      <c r="C95" s="10">
        <f>IFERROR(INDEX('Тест-кейсы'!$C$2:$C$139,MATCH($A95,'Тест-кейсы'!$A$2:$A$139,0)),"")</f>
        <v/>
      </c>
      <c r="D95" s="9">
        <f>IFERROR(INDEX('Тест-кейсы'!$G$2:$G$139,MATCH($A95,'Тест-кейсы'!$A$2:$A$139,0)),"")</f>
        <v/>
      </c>
      <c r="E95" s="9">
        <f>IFERROR(INDEX('Тест-кейсы'!$I$2:$I$139,MATCH($A95,'Тест-кейсы'!$A$2:$A$139,0)),"")</f>
        <v/>
      </c>
      <c r="F95" s="9">
        <f>IFERROR(INDEX('Тест-кейсы'!$J$2:$J$139,MATCH($A95,'Тест-кейсы'!$A$2:$A$139,0)),"")</f>
        <v/>
      </c>
      <c r="G95" s="17" t="n"/>
      <c r="H95" s="17" t="n"/>
      <c r="I95" s="18" t="n"/>
    </row>
    <row r="96">
      <c r="A96" s="9" t="inlineStr">
        <is>
          <t>ORDH-01</t>
        </is>
      </c>
      <c r="B96" s="10">
        <f>IFERROR(INDEX('Тест-кейсы'!$B$2:$B$139,MATCH($A96,'Тест-кейсы'!$A$2:$A$139,0)),"")</f>
        <v/>
      </c>
      <c r="C96" s="10">
        <f>IFERROR(INDEX('Тест-кейсы'!$C$2:$C$139,MATCH($A96,'Тест-кейсы'!$A$2:$A$139,0)),"")</f>
        <v/>
      </c>
      <c r="D96" s="9">
        <f>IFERROR(INDEX('Тест-кейсы'!$G$2:$G$139,MATCH($A96,'Тест-кейсы'!$A$2:$A$139,0)),"")</f>
        <v/>
      </c>
      <c r="E96" s="9">
        <f>IFERROR(INDEX('Тест-кейсы'!$I$2:$I$139,MATCH($A96,'Тест-кейсы'!$A$2:$A$139,0)),"")</f>
        <v/>
      </c>
      <c r="F96" s="9">
        <f>IFERROR(INDEX('Тест-кейсы'!$J$2:$J$139,MATCH($A96,'Тест-кейсы'!$A$2:$A$139,0)),"")</f>
        <v/>
      </c>
      <c r="G96" s="17" t="n"/>
      <c r="H96" s="17" t="n"/>
      <c r="I96" s="18" t="n"/>
    </row>
    <row r="97">
      <c r="A97" s="9" t="inlineStr">
        <is>
          <t>ORDH-02</t>
        </is>
      </c>
      <c r="B97" s="10">
        <f>IFERROR(INDEX('Тест-кейсы'!$B$2:$B$139,MATCH($A97,'Тест-кейсы'!$A$2:$A$139,0)),"")</f>
        <v/>
      </c>
      <c r="C97" s="10">
        <f>IFERROR(INDEX('Тест-кейсы'!$C$2:$C$139,MATCH($A97,'Тест-кейсы'!$A$2:$A$139,0)),"")</f>
        <v/>
      </c>
      <c r="D97" s="9">
        <f>IFERROR(INDEX('Тест-кейсы'!$G$2:$G$139,MATCH($A97,'Тест-кейсы'!$A$2:$A$139,0)),"")</f>
        <v/>
      </c>
      <c r="E97" s="9">
        <f>IFERROR(INDEX('Тест-кейсы'!$I$2:$I$139,MATCH($A97,'Тест-кейсы'!$A$2:$A$139,0)),"")</f>
        <v/>
      </c>
      <c r="F97" s="9">
        <f>IFERROR(INDEX('Тест-кейсы'!$J$2:$J$139,MATCH($A97,'Тест-кейсы'!$A$2:$A$139,0)),"")</f>
        <v/>
      </c>
      <c r="G97" s="17" t="n"/>
      <c r="H97" s="17" t="n"/>
      <c r="I97" s="18" t="n"/>
    </row>
    <row r="98">
      <c r="A98" s="9" t="inlineStr">
        <is>
          <t>ORDH-03</t>
        </is>
      </c>
      <c r="B98" s="10">
        <f>IFERROR(INDEX('Тест-кейсы'!$B$2:$B$139,MATCH($A98,'Тест-кейсы'!$A$2:$A$139,0)),"")</f>
        <v/>
      </c>
      <c r="C98" s="10">
        <f>IFERROR(INDEX('Тест-кейсы'!$C$2:$C$139,MATCH($A98,'Тест-кейсы'!$A$2:$A$139,0)),"")</f>
        <v/>
      </c>
      <c r="D98" s="9">
        <f>IFERROR(INDEX('Тест-кейсы'!$G$2:$G$139,MATCH($A98,'Тест-кейсы'!$A$2:$A$139,0)),"")</f>
        <v/>
      </c>
      <c r="E98" s="9">
        <f>IFERROR(INDEX('Тест-кейсы'!$I$2:$I$139,MATCH($A98,'Тест-кейсы'!$A$2:$A$139,0)),"")</f>
        <v/>
      </c>
      <c r="F98" s="9">
        <f>IFERROR(INDEX('Тест-кейсы'!$J$2:$J$139,MATCH($A98,'Тест-кейсы'!$A$2:$A$139,0)),"")</f>
        <v/>
      </c>
      <c r="G98" s="17" t="n"/>
      <c r="H98" s="17" t="n"/>
      <c r="I98" s="18" t="n"/>
    </row>
    <row r="99">
      <c r="A99" s="9" t="inlineStr">
        <is>
          <t>ORDH-04</t>
        </is>
      </c>
      <c r="B99" s="10">
        <f>IFERROR(INDEX('Тест-кейсы'!$B$2:$B$139,MATCH($A99,'Тест-кейсы'!$A$2:$A$139,0)),"")</f>
        <v/>
      </c>
      <c r="C99" s="10">
        <f>IFERROR(INDEX('Тест-кейсы'!$C$2:$C$139,MATCH($A99,'Тест-кейсы'!$A$2:$A$139,0)),"")</f>
        <v/>
      </c>
      <c r="D99" s="9">
        <f>IFERROR(INDEX('Тест-кейсы'!$G$2:$G$139,MATCH($A99,'Тест-кейсы'!$A$2:$A$139,0)),"")</f>
        <v/>
      </c>
      <c r="E99" s="9">
        <f>IFERROR(INDEX('Тест-кейсы'!$I$2:$I$139,MATCH($A99,'Тест-кейсы'!$A$2:$A$139,0)),"")</f>
        <v/>
      </c>
      <c r="F99" s="9">
        <f>IFERROR(INDEX('Тест-кейсы'!$J$2:$J$139,MATCH($A99,'Тест-кейсы'!$A$2:$A$139,0)),"")</f>
        <v/>
      </c>
      <c r="G99" s="17" t="n"/>
      <c r="H99" s="17" t="n"/>
      <c r="I99" s="18" t="n"/>
    </row>
    <row r="100">
      <c r="A100" s="9" t="inlineStr">
        <is>
          <t>ORDH-05</t>
        </is>
      </c>
      <c r="B100" s="10">
        <f>IFERROR(INDEX('Тест-кейсы'!$B$2:$B$139,MATCH($A100,'Тест-кейсы'!$A$2:$A$139,0)),"")</f>
        <v/>
      </c>
      <c r="C100" s="10">
        <f>IFERROR(INDEX('Тест-кейсы'!$C$2:$C$139,MATCH($A100,'Тест-кейсы'!$A$2:$A$139,0)),"")</f>
        <v/>
      </c>
      <c r="D100" s="9">
        <f>IFERROR(INDEX('Тест-кейсы'!$G$2:$G$139,MATCH($A100,'Тест-кейсы'!$A$2:$A$139,0)),"")</f>
        <v/>
      </c>
      <c r="E100" s="9">
        <f>IFERROR(INDEX('Тест-кейсы'!$I$2:$I$139,MATCH($A100,'Тест-кейсы'!$A$2:$A$139,0)),"")</f>
        <v/>
      </c>
      <c r="F100" s="9">
        <f>IFERROR(INDEX('Тест-кейсы'!$J$2:$J$139,MATCH($A100,'Тест-кейсы'!$A$2:$A$139,0)),"")</f>
        <v/>
      </c>
      <c r="G100" s="17" t="n"/>
      <c r="H100" s="17" t="n"/>
      <c r="I100" s="18" t="n"/>
    </row>
    <row r="101">
      <c r="A101" s="9" t="inlineStr">
        <is>
          <t>ORDH-06</t>
        </is>
      </c>
      <c r="B101" s="10">
        <f>IFERROR(INDEX('Тест-кейсы'!$B$2:$B$139,MATCH($A101,'Тест-кейсы'!$A$2:$A$139,0)),"")</f>
        <v/>
      </c>
      <c r="C101" s="10">
        <f>IFERROR(INDEX('Тест-кейсы'!$C$2:$C$139,MATCH($A101,'Тест-кейсы'!$A$2:$A$139,0)),"")</f>
        <v/>
      </c>
      <c r="D101" s="9">
        <f>IFERROR(INDEX('Тест-кейсы'!$G$2:$G$139,MATCH($A101,'Тест-кейсы'!$A$2:$A$139,0)),"")</f>
        <v/>
      </c>
      <c r="E101" s="9">
        <f>IFERROR(INDEX('Тест-кейсы'!$I$2:$I$139,MATCH($A101,'Тест-кейсы'!$A$2:$A$139,0)),"")</f>
        <v/>
      </c>
      <c r="F101" s="9">
        <f>IFERROR(INDEX('Тест-кейсы'!$J$2:$J$139,MATCH($A101,'Тест-кейсы'!$A$2:$A$139,0)),"")</f>
        <v/>
      </c>
      <c r="G101" s="17" t="n"/>
      <c r="H101" s="17" t="n"/>
      <c r="I101" s="18" t="n"/>
    </row>
    <row r="102">
      <c r="A102" s="9" t="inlineStr">
        <is>
          <t>ORDH-07</t>
        </is>
      </c>
      <c r="B102" s="10">
        <f>IFERROR(INDEX('Тест-кейсы'!$B$2:$B$139,MATCH($A102,'Тест-кейсы'!$A$2:$A$139,0)),"")</f>
        <v/>
      </c>
      <c r="C102" s="10">
        <f>IFERROR(INDEX('Тест-кейсы'!$C$2:$C$139,MATCH($A102,'Тест-кейсы'!$A$2:$A$139,0)),"")</f>
        <v/>
      </c>
      <c r="D102" s="9">
        <f>IFERROR(INDEX('Тест-кейсы'!$G$2:$G$139,MATCH($A102,'Тест-кейсы'!$A$2:$A$139,0)),"")</f>
        <v/>
      </c>
      <c r="E102" s="9">
        <f>IFERROR(INDEX('Тест-кейсы'!$I$2:$I$139,MATCH($A102,'Тест-кейсы'!$A$2:$A$139,0)),"")</f>
        <v/>
      </c>
      <c r="F102" s="9">
        <f>IFERROR(INDEX('Тест-кейсы'!$J$2:$J$139,MATCH($A102,'Тест-кейсы'!$A$2:$A$139,0)),"")</f>
        <v/>
      </c>
      <c r="G102" s="17" t="n"/>
      <c r="H102" s="17" t="n"/>
      <c r="I102" s="18" t="n"/>
    </row>
    <row r="103">
      <c r="A103" s="9" t="inlineStr">
        <is>
          <t>ORDH-08</t>
        </is>
      </c>
      <c r="B103" s="10">
        <f>IFERROR(INDEX('Тест-кейсы'!$B$2:$B$139,MATCH($A103,'Тест-кейсы'!$A$2:$A$139,0)),"")</f>
        <v/>
      </c>
      <c r="C103" s="10">
        <f>IFERROR(INDEX('Тест-кейсы'!$C$2:$C$139,MATCH($A103,'Тест-кейсы'!$A$2:$A$139,0)),"")</f>
        <v/>
      </c>
      <c r="D103" s="9">
        <f>IFERROR(INDEX('Тест-кейсы'!$G$2:$G$139,MATCH($A103,'Тест-кейсы'!$A$2:$A$139,0)),"")</f>
        <v/>
      </c>
      <c r="E103" s="9">
        <f>IFERROR(INDEX('Тест-кейсы'!$I$2:$I$139,MATCH($A103,'Тест-кейсы'!$A$2:$A$139,0)),"")</f>
        <v/>
      </c>
      <c r="F103" s="9">
        <f>IFERROR(INDEX('Тест-кейсы'!$J$2:$J$139,MATCH($A103,'Тест-кейсы'!$A$2:$A$139,0)),"")</f>
        <v/>
      </c>
      <c r="G103" s="17" t="n"/>
      <c r="H103" s="17" t="n"/>
      <c r="I103" s="18" t="n"/>
    </row>
    <row r="104">
      <c r="A104" s="9" t="inlineStr">
        <is>
          <t>ORDH-09</t>
        </is>
      </c>
      <c r="B104" s="10">
        <f>IFERROR(INDEX('Тест-кейсы'!$B$2:$B$139,MATCH($A104,'Тест-кейсы'!$A$2:$A$139,0)),"")</f>
        <v/>
      </c>
      <c r="C104" s="10">
        <f>IFERROR(INDEX('Тест-кейсы'!$C$2:$C$139,MATCH($A104,'Тест-кейсы'!$A$2:$A$139,0)),"")</f>
        <v/>
      </c>
      <c r="D104" s="9">
        <f>IFERROR(INDEX('Тест-кейсы'!$G$2:$G$139,MATCH($A104,'Тест-кейсы'!$A$2:$A$139,0)),"")</f>
        <v/>
      </c>
      <c r="E104" s="9">
        <f>IFERROR(INDEX('Тест-кейсы'!$I$2:$I$139,MATCH($A104,'Тест-кейсы'!$A$2:$A$139,0)),"")</f>
        <v/>
      </c>
      <c r="F104" s="9">
        <f>IFERROR(INDEX('Тест-кейсы'!$J$2:$J$139,MATCH($A104,'Тест-кейсы'!$A$2:$A$139,0)),"")</f>
        <v/>
      </c>
      <c r="G104" s="17" t="n"/>
      <c r="H104" s="17" t="n"/>
      <c r="I104" s="18" t="n"/>
    </row>
    <row r="105">
      <c r="A105" s="9" t="inlineStr">
        <is>
          <t>ORDH-10</t>
        </is>
      </c>
      <c r="B105" s="10">
        <f>IFERROR(INDEX('Тест-кейсы'!$B$2:$B$139,MATCH($A105,'Тест-кейсы'!$A$2:$A$139,0)),"")</f>
        <v/>
      </c>
      <c r="C105" s="10">
        <f>IFERROR(INDEX('Тест-кейсы'!$C$2:$C$139,MATCH($A105,'Тест-кейсы'!$A$2:$A$139,0)),"")</f>
        <v/>
      </c>
      <c r="D105" s="9">
        <f>IFERROR(INDEX('Тест-кейсы'!$G$2:$G$139,MATCH($A105,'Тест-кейсы'!$A$2:$A$139,0)),"")</f>
        <v/>
      </c>
      <c r="E105" s="9">
        <f>IFERROR(INDEX('Тест-кейсы'!$I$2:$I$139,MATCH($A105,'Тест-кейсы'!$A$2:$A$139,0)),"")</f>
        <v/>
      </c>
      <c r="F105" s="9">
        <f>IFERROR(INDEX('Тест-кейсы'!$J$2:$J$139,MATCH($A105,'Тест-кейсы'!$A$2:$A$139,0)),"")</f>
        <v/>
      </c>
      <c r="G105" s="17" t="n"/>
      <c r="H105" s="17" t="n"/>
      <c r="I105" s="18" t="n"/>
    </row>
    <row r="106">
      <c r="A106" s="9" t="inlineStr">
        <is>
          <t>ORDH-11</t>
        </is>
      </c>
      <c r="B106" s="10">
        <f>IFERROR(INDEX('Тест-кейсы'!$B$2:$B$139,MATCH($A106,'Тест-кейсы'!$A$2:$A$139,0)),"")</f>
        <v/>
      </c>
      <c r="C106" s="10">
        <f>IFERROR(INDEX('Тест-кейсы'!$C$2:$C$139,MATCH($A106,'Тест-кейсы'!$A$2:$A$139,0)),"")</f>
        <v/>
      </c>
      <c r="D106" s="9">
        <f>IFERROR(INDEX('Тест-кейсы'!$G$2:$G$139,MATCH($A106,'Тест-кейсы'!$A$2:$A$139,0)),"")</f>
        <v/>
      </c>
      <c r="E106" s="9">
        <f>IFERROR(INDEX('Тест-кейсы'!$I$2:$I$139,MATCH($A106,'Тест-кейсы'!$A$2:$A$139,0)),"")</f>
        <v/>
      </c>
      <c r="F106" s="9">
        <f>IFERROR(INDEX('Тест-кейсы'!$J$2:$J$139,MATCH($A106,'Тест-кейсы'!$A$2:$A$139,0)),"")</f>
        <v/>
      </c>
      <c r="G106" s="17" t="n"/>
      <c r="H106" s="17" t="n"/>
      <c r="I106" s="18" t="n"/>
    </row>
    <row r="107">
      <c r="A107" s="9" t="inlineStr">
        <is>
          <t>ORDH-12</t>
        </is>
      </c>
      <c r="B107" s="10">
        <f>IFERROR(INDEX('Тест-кейсы'!$B$2:$B$139,MATCH($A107,'Тест-кейсы'!$A$2:$A$139,0)),"")</f>
        <v/>
      </c>
      <c r="C107" s="10">
        <f>IFERROR(INDEX('Тест-кейсы'!$C$2:$C$139,MATCH($A107,'Тест-кейсы'!$A$2:$A$139,0)),"")</f>
        <v/>
      </c>
      <c r="D107" s="9">
        <f>IFERROR(INDEX('Тест-кейсы'!$G$2:$G$139,MATCH($A107,'Тест-кейсы'!$A$2:$A$139,0)),"")</f>
        <v/>
      </c>
      <c r="E107" s="9">
        <f>IFERROR(INDEX('Тест-кейсы'!$I$2:$I$139,MATCH($A107,'Тест-кейсы'!$A$2:$A$139,0)),"")</f>
        <v/>
      </c>
      <c r="F107" s="9">
        <f>IFERROR(INDEX('Тест-кейсы'!$J$2:$J$139,MATCH($A107,'Тест-кейсы'!$A$2:$A$139,0)),"")</f>
        <v/>
      </c>
      <c r="G107" s="17" t="n"/>
      <c r="H107" s="17" t="n"/>
      <c r="I107" s="18" t="n"/>
    </row>
    <row r="108">
      <c r="A108" s="9" t="inlineStr">
        <is>
          <t>NOTIF-01</t>
        </is>
      </c>
      <c r="B108" s="10">
        <f>IFERROR(INDEX('Тест-кейсы'!$B$2:$B$139,MATCH($A108,'Тест-кейсы'!$A$2:$A$139,0)),"")</f>
        <v/>
      </c>
      <c r="C108" s="10">
        <f>IFERROR(INDEX('Тест-кейсы'!$C$2:$C$139,MATCH($A108,'Тест-кейсы'!$A$2:$A$139,0)),"")</f>
        <v/>
      </c>
      <c r="D108" s="9">
        <f>IFERROR(INDEX('Тест-кейсы'!$G$2:$G$139,MATCH($A108,'Тест-кейсы'!$A$2:$A$139,0)),"")</f>
        <v/>
      </c>
      <c r="E108" s="9">
        <f>IFERROR(INDEX('Тест-кейсы'!$I$2:$I$139,MATCH($A108,'Тест-кейсы'!$A$2:$A$139,0)),"")</f>
        <v/>
      </c>
      <c r="F108" s="9">
        <f>IFERROR(INDEX('Тест-кейсы'!$J$2:$J$139,MATCH($A108,'Тест-кейсы'!$A$2:$A$139,0)),"")</f>
        <v/>
      </c>
      <c r="G108" s="17" t="n"/>
      <c r="H108" s="17" t="n"/>
      <c r="I108" s="18" t="n"/>
    </row>
    <row r="109">
      <c r="A109" s="9" t="inlineStr">
        <is>
          <t>NOTIF-02</t>
        </is>
      </c>
      <c r="B109" s="10">
        <f>IFERROR(INDEX('Тест-кейсы'!$B$2:$B$139,MATCH($A109,'Тест-кейсы'!$A$2:$A$139,0)),"")</f>
        <v/>
      </c>
      <c r="C109" s="10">
        <f>IFERROR(INDEX('Тест-кейсы'!$C$2:$C$139,MATCH($A109,'Тест-кейсы'!$A$2:$A$139,0)),"")</f>
        <v/>
      </c>
      <c r="D109" s="9">
        <f>IFERROR(INDEX('Тест-кейсы'!$G$2:$G$139,MATCH($A109,'Тест-кейсы'!$A$2:$A$139,0)),"")</f>
        <v/>
      </c>
      <c r="E109" s="9">
        <f>IFERROR(INDEX('Тест-кейсы'!$I$2:$I$139,MATCH($A109,'Тест-кейсы'!$A$2:$A$139,0)),"")</f>
        <v/>
      </c>
      <c r="F109" s="9">
        <f>IFERROR(INDEX('Тест-кейсы'!$J$2:$J$139,MATCH($A109,'Тест-кейсы'!$A$2:$A$139,0)),"")</f>
        <v/>
      </c>
      <c r="G109" s="17" t="n"/>
      <c r="H109" s="17" t="n"/>
      <c r="I109" s="18" t="n"/>
    </row>
    <row r="110">
      <c r="A110" s="9" t="inlineStr">
        <is>
          <t>NOTIF-03</t>
        </is>
      </c>
      <c r="B110" s="10">
        <f>IFERROR(INDEX('Тест-кейсы'!$B$2:$B$139,MATCH($A110,'Тест-кейсы'!$A$2:$A$139,0)),"")</f>
        <v/>
      </c>
      <c r="C110" s="10">
        <f>IFERROR(INDEX('Тест-кейсы'!$C$2:$C$139,MATCH($A110,'Тест-кейсы'!$A$2:$A$139,0)),"")</f>
        <v/>
      </c>
      <c r="D110" s="9">
        <f>IFERROR(INDEX('Тест-кейсы'!$G$2:$G$139,MATCH($A110,'Тест-кейсы'!$A$2:$A$139,0)),"")</f>
        <v/>
      </c>
      <c r="E110" s="9">
        <f>IFERROR(INDEX('Тест-кейсы'!$I$2:$I$139,MATCH($A110,'Тест-кейсы'!$A$2:$A$139,0)),"")</f>
        <v/>
      </c>
      <c r="F110" s="9">
        <f>IFERROR(INDEX('Тест-кейсы'!$J$2:$J$139,MATCH($A110,'Тест-кейсы'!$A$2:$A$139,0)),"")</f>
        <v/>
      </c>
      <c r="G110" s="17" t="n"/>
      <c r="H110" s="17" t="n"/>
      <c r="I110" s="18" t="n"/>
    </row>
    <row r="111">
      <c r="A111" s="9" t="inlineStr">
        <is>
          <t>NOTIF-04</t>
        </is>
      </c>
      <c r="B111" s="10">
        <f>IFERROR(INDEX('Тест-кейсы'!$B$2:$B$139,MATCH($A111,'Тест-кейсы'!$A$2:$A$139,0)),"")</f>
        <v/>
      </c>
      <c r="C111" s="10">
        <f>IFERROR(INDEX('Тест-кейсы'!$C$2:$C$139,MATCH($A111,'Тест-кейсы'!$A$2:$A$139,0)),"")</f>
        <v/>
      </c>
      <c r="D111" s="9">
        <f>IFERROR(INDEX('Тест-кейсы'!$G$2:$G$139,MATCH($A111,'Тест-кейсы'!$A$2:$A$139,0)),"")</f>
        <v/>
      </c>
      <c r="E111" s="9">
        <f>IFERROR(INDEX('Тест-кейсы'!$I$2:$I$139,MATCH($A111,'Тест-кейсы'!$A$2:$A$139,0)),"")</f>
        <v/>
      </c>
      <c r="F111" s="9">
        <f>IFERROR(INDEX('Тест-кейсы'!$J$2:$J$139,MATCH($A111,'Тест-кейсы'!$A$2:$A$139,0)),"")</f>
        <v/>
      </c>
      <c r="G111" s="17" t="n"/>
      <c r="H111" s="17" t="n"/>
      <c r="I111" s="18" t="n"/>
    </row>
    <row r="112">
      <c r="A112" s="9" t="inlineStr">
        <is>
          <t>PROF-01</t>
        </is>
      </c>
      <c r="B112" s="10">
        <f>IFERROR(INDEX('Тест-кейсы'!$B$2:$B$139,MATCH($A112,'Тест-кейсы'!$A$2:$A$139,0)),"")</f>
        <v/>
      </c>
      <c r="C112" s="10">
        <f>IFERROR(INDEX('Тест-кейсы'!$C$2:$C$139,MATCH($A112,'Тест-кейсы'!$A$2:$A$139,0)),"")</f>
        <v/>
      </c>
      <c r="D112" s="9">
        <f>IFERROR(INDEX('Тест-кейсы'!$G$2:$G$139,MATCH($A112,'Тест-кейсы'!$A$2:$A$139,0)),"")</f>
        <v/>
      </c>
      <c r="E112" s="9">
        <f>IFERROR(INDEX('Тест-кейсы'!$I$2:$I$139,MATCH($A112,'Тест-кейсы'!$A$2:$A$139,0)),"")</f>
        <v/>
      </c>
      <c r="F112" s="9">
        <f>IFERROR(INDEX('Тест-кейсы'!$J$2:$J$139,MATCH($A112,'Тест-кейсы'!$A$2:$A$139,0)),"")</f>
        <v/>
      </c>
      <c r="G112" s="17" t="n"/>
      <c r="H112" s="17" t="n"/>
      <c r="I112" s="18" t="n"/>
    </row>
    <row r="113">
      <c r="A113" s="9" t="inlineStr">
        <is>
          <t>PROF-02</t>
        </is>
      </c>
      <c r="B113" s="10">
        <f>IFERROR(INDEX('Тест-кейсы'!$B$2:$B$139,MATCH($A113,'Тест-кейсы'!$A$2:$A$139,0)),"")</f>
        <v/>
      </c>
      <c r="C113" s="10">
        <f>IFERROR(INDEX('Тест-кейсы'!$C$2:$C$139,MATCH($A113,'Тест-кейсы'!$A$2:$A$139,0)),"")</f>
        <v/>
      </c>
      <c r="D113" s="9">
        <f>IFERROR(INDEX('Тест-кейсы'!$G$2:$G$139,MATCH($A113,'Тест-кейсы'!$A$2:$A$139,0)),"")</f>
        <v/>
      </c>
      <c r="E113" s="9">
        <f>IFERROR(INDEX('Тест-кейсы'!$I$2:$I$139,MATCH($A113,'Тест-кейсы'!$A$2:$A$139,0)),"")</f>
        <v/>
      </c>
      <c r="F113" s="9">
        <f>IFERROR(INDEX('Тест-кейсы'!$J$2:$J$139,MATCH($A113,'Тест-кейсы'!$A$2:$A$139,0)),"")</f>
        <v/>
      </c>
      <c r="G113" s="17" t="n"/>
      <c r="H113" s="17" t="n"/>
      <c r="I113" s="18" t="n"/>
    </row>
    <row r="114">
      <c r="A114" s="9" t="inlineStr">
        <is>
          <t>PROF-03</t>
        </is>
      </c>
      <c r="B114" s="10">
        <f>IFERROR(INDEX('Тест-кейсы'!$B$2:$B$139,MATCH($A114,'Тест-кейсы'!$A$2:$A$139,0)),"")</f>
        <v/>
      </c>
      <c r="C114" s="10">
        <f>IFERROR(INDEX('Тест-кейсы'!$C$2:$C$139,MATCH($A114,'Тест-кейсы'!$A$2:$A$139,0)),"")</f>
        <v/>
      </c>
      <c r="D114" s="9">
        <f>IFERROR(INDEX('Тест-кейсы'!$G$2:$G$139,MATCH($A114,'Тест-кейсы'!$A$2:$A$139,0)),"")</f>
        <v/>
      </c>
      <c r="E114" s="9">
        <f>IFERROR(INDEX('Тест-кейсы'!$I$2:$I$139,MATCH($A114,'Тест-кейсы'!$A$2:$A$139,0)),"")</f>
        <v/>
      </c>
      <c r="F114" s="9">
        <f>IFERROR(INDEX('Тест-кейсы'!$J$2:$J$139,MATCH($A114,'Тест-кейсы'!$A$2:$A$139,0)),"")</f>
        <v/>
      </c>
      <c r="G114" s="17" t="n"/>
      <c r="H114" s="17" t="n"/>
      <c r="I114" s="18" t="n"/>
    </row>
    <row r="115">
      <c r="A115" s="9" t="inlineStr">
        <is>
          <t>PROF-04</t>
        </is>
      </c>
      <c r="B115" s="10">
        <f>IFERROR(INDEX('Тест-кейсы'!$B$2:$B$139,MATCH($A115,'Тест-кейсы'!$A$2:$A$139,0)),"")</f>
        <v/>
      </c>
      <c r="C115" s="10">
        <f>IFERROR(INDEX('Тест-кейсы'!$C$2:$C$139,MATCH($A115,'Тест-кейсы'!$A$2:$A$139,0)),"")</f>
        <v/>
      </c>
      <c r="D115" s="9">
        <f>IFERROR(INDEX('Тест-кейсы'!$G$2:$G$139,MATCH($A115,'Тест-кейсы'!$A$2:$A$139,0)),"")</f>
        <v/>
      </c>
      <c r="E115" s="9">
        <f>IFERROR(INDEX('Тест-кейсы'!$I$2:$I$139,MATCH($A115,'Тест-кейсы'!$A$2:$A$139,0)),"")</f>
        <v/>
      </c>
      <c r="F115" s="9">
        <f>IFERROR(INDEX('Тест-кейсы'!$J$2:$J$139,MATCH($A115,'Тест-кейсы'!$A$2:$A$139,0)),"")</f>
        <v/>
      </c>
      <c r="G115" s="17" t="n"/>
      <c r="H115" s="17" t="n"/>
      <c r="I115" s="18" t="n"/>
    </row>
    <row r="116">
      <c r="A116" s="9" t="inlineStr">
        <is>
          <t>DET-01</t>
        </is>
      </c>
      <c r="B116" s="10">
        <f>IFERROR(INDEX('Тест-кейсы'!$B$2:$B$139,MATCH($A116,'Тест-кейсы'!$A$2:$A$139,0)),"")</f>
        <v/>
      </c>
      <c r="C116" s="10">
        <f>IFERROR(INDEX('Тест-кейсы'!$C$2:$C$139,MATCH($A116,'Тест-кейсы'!$A$2:$A$139,0)),"")</f>
        <v/>
      </c>
      <c r="D116" s="9">
        <f>IFERROR(INDEX('Тест-кейсы'!$G$2:$G$139,MATCH($A116,'Тест-кейсы'!$A$2:$A$139,0)),"")</f>
        <v/>
      </c>
      <c r="E116" s="9">
        <f>IFERROR(INDEX('Тест-кейсы'!$I$2:$I$139,MATCH($A116,'Тест-кейсы'!$A$2:$A$139,0)),"")</f>
        <v/>
      </c>
      <c r="F116" s="9">
        <f>IFERROR(INDEX('Тест-кейсы'!$J$2:$J$139,MATCH($A116,'Тест-кейсы'!$A$2:$A$139,0)),"")</f>
        <v/>
      </c>
      <c r="G116" s="17" t="n"/>
      <c r="H116" s="17" t="n"/>
      <c r="I116" s="18" t="n"/>
    </row>
    <row r="117">
      <c r="A117" s="9" t="inlineStr">
        <is>
          <t>DET-02</t>
        </is>
      </c>
      <c r="B117" s="10">
        <f>IFERROR(INDEX('Тест-кейсы'!$B$2:$B$139,MATCH($A117,'Тест-кейсы'!$A$2:$A$139,0)),"")</f>
        <v/>
      </c>
      <c r="C117" s="10">
        <f>IFERROR(INDEX('Тест-кейсы'!$C$2:$C$139,MATCH($A117,'Тест-кейсы'!$A$2:$A$139,0)),"")</f>
        <v/>
      </c>
      <c r="D117" s="9">
        <f>IFERROR(INDEX('Тест-кейсы'!$G$2:$G$139,MATCH($A117,'Тест-кейсы'!$A$2:$A$139,0)),"")</f>
        <v/>
      </c>
      <c r="E117" s="9">
        <f>IFERROR(INDEX('Тест-кейсы'!$I$2:$I$139,MATCH($A117,'Тест-кейсы'!$A$2:$A$139,0)),"")</f>
        <v/>
      </c>
      <c r="F117" s="9">
        <f>IFERROR(INDEX('Тест-кейсы'!$J$2:$J$139,MATCH($A117,'Тест-кейсы'!$A$2:$A$139,0)),"")</f>
        <v/>
      </c>
      <c r="G117" s="17" t="n"/>
      <c r="H117" s="17" t="n"/>
      <c r="I117" s="18" t="n"/>
    </row>
    <row r="118">
      <c r="A118" s="9" t="inlineStr">
        <is>
          <t>DET-03</t>
        </is>
      </c>
      <c r="B118" s="10">
        <f>IFERROR(INDEX('Тест-кейсы'!$B$2:$B$139,MATCH($A118,'Тест-кейсы'!$A$2:$A$139,0)),"")</f>
        <v/>
      </c>
      <c r="C118" s="10">
        <f>IFERROR(INDEX('Тест-кейсы'!$C$2:$C$139,MATCH($A118,'Тест-кейсы'!$A$2:$A$139,0)),"")</f>
        <v/>
      </c>
      <c r="D118" s="9">
        <f>IFERROR(INDEX('Тест-кейсы'!$G$2:$G$139,MATCH($A118,'Тест-кейсы'!$A$2:$A$139,0)),"")</f>
        <v/>
      </c>
      <c r="E118" s="9">
        <f>IFERROR(INDEX('Тест-кейсы'!$I$2:$I$139,MATCH($A118,'Тест-кейсы'!$A$2:$A$139,0)),"")</f>
        <v/>
      </c>
      <c r="F118" s="9">
        <f>IFERROR(INDEX('Тест-кейсы'!$J$2:$J$139,MATCH($A118,'Тест-кейсы'!$A$2:$A$139,0)),"")</f>
        <v/>
      </c>
      <c r="G118" s="17" t="n"/>
      <c r="H118" s="17" t="n"/>
      <c r="I118" s="18" t="n"/>
    </row>
    <row r="119">
      <c r="A119" s="9" t="inlineStr">
        <is>
          <t>DET-04</t>
        </is>
      </c>
      <c r="B119" s="10">
        <f>IFERROR(INDEX('Тест-кейсы'!$B$2:$B$139,MATCH($A119,'Тест-кейсы'!$A$2:$A$139,0)),"")</f>
        <v/>
      </c>
      <c r="C119" s="10">
        <f>IFERROR(INDEX('Тест-кейсы'!$C$2:$C$139,MATCH($A119,'Тест-кейсы'!$A$2:$A$139,0)),"")</f>
        <v/>
      </c>
      <c r="D119" s="9">
        <f>IFERROR(INDEX('Тест-кейсы'!$G$2:$G$139,MATCH($A119,'Тест-кейсы'!$A$2:$A$139,0)),"")</f>
        <v/>
      </c>
      <c r="E119" s="9">
        <f>IFERROR(INDEX('Тест-кейсы'!$I$2:$I$139,MATCH($A119,'Тест-кейсы'!$A$2:$A$139,0)),"")</f>
        <v/>
      </c>
      <c r="F119" s="9">
        <f>IFERROR(INDEX('Тест-кейсы'!$J$2:$J$139,MATCH($A119,'Тест-кейсы'!$A$2:$A$139,0)),"")</f>
        <v/>
      </c>
      <c r="G119" s="17" t="n"/>
      <c r="H119" s="17" t="n"/>
      <c r="I119" s="18" t="n"/>
    </row>
    <row r="120">
      <c r="A120" s="9" t="inlineStr">
        <is>
          <t>DET-05</t>
        </is>
      </c>
      <c r="B120" s="10">
        <f>IFERROR(INDEX('Тест-кейсы'!$B$2:$B$139,MATCH($A120,'Тест-кейсы'!$A$2:$A$139,0)),"")</f>
        <v/>
      </c>
      <c r="C120" s="10">
        <f>IFERROR(INDEX('Тест-кейсы'!$C$2:$C$139,MATCH($A120,'Тест-кейсы'!$A$2:$A$139,0)),"")</f>
        <v/>
      </c>
      <c r="D120" s="9">
        <f>IFERROR(INDEX('Тест-кейсы'!$G$2:$G$139,MATCH($A120,'Тест-кейсы'!$A$2:$A$139,0)),"")</f>
        <v/>
      </c>
      <c r="E120" s="9">
        <f>IFERROR(INDEX('Тест-кейсы'!$I$2:$I$139,MATCH($A120,'Тест-кейсы'!$A$2:$A$139,0)),"")</f>
        <v/>
      </c>
      <c r="F120" s="9">
        <f>IFERROR(INDEX('Тест-кейсы'!$J$2:$J$139,MATCH($A120,'Тест-кейсы'!$A$2:$A$139,0)),"")</f>
        <v/>
      </c>
      <c r="G120" s="17" t="n"/>
      <c r="H120" s="17" t="n"/>
      <c r="I120" s="18" t="n"/>
    </row>
    <row r="121">
      <c r="A121" s="9" t="inlineStr">
        <is>
          <t>DET-06</t>
        </is>
      </c>
      <c r="B121" s="10">
        <f>IFERROR(INDEX('Тест-кейсы'!$B$2:$B$139,MATCH($A121,'Тест-кейсы'!$A$2:$A$139,0)),"")</f>
        <v/>
      </c>
      <c r="C121" s="10">
        <f>IFERROR(INDEX('Тест-кейсы'!$C$2:$C$139,MATCH($A121,'Тест-кейсы'!$A$2:$A$139,0)),"")</f>
        <v/>
      </c>
      <c r="D121" s="9">
        <f>IFERROR(INDEX('Тест-кейсы'!$G$2:$G$139,MATCH($A121,'Тест-кейсы'!$A$2:$A$139,0)),"")</f>
        <v/>
      </c>
      <c r="E121" s="9">
        <f>IFERROR(INDEX('Тест-кейсы'!$I$2:$I$139,MATCH($A121,'Тест-кейсы'!$A$2:$A$139,0)),"")</f>
        <v/>
      </c>
      <c r="F121" s="9">
        <f>IFERROR(INDEX('Тест-кейсы'!$J$2:$J$139,MATCH($A121,'Тест-кейсы'!$A$2:$A$139,0)),"")</f>
        <v/>
      </c>
      <c r="G121" s="17" t="n"/>
      <c r="H121" s="17" t="n"/>
      <c r="I121" s="18" t="n"/>
    </row>
    <row r="122">
      <c r="A122" s="9" t="inlineStr">
        <is>
          <t>DET-07</t>
        </is>
      </c>
      <c r="B122" s="10">
        <f>IFERROR(INDEX('Тест-кейсы'!$B$2:$B$139,MATCH($A122,'Тест-кейсы'!$A$2:$A$139,0)),"")</f>
        <v/>
      </c>
      <c r="C122" s="10">
        <f>IFERROR(INDEX('Тест-кейсы'!$C$2:$C$139,MATCH($A122,'Тест-кейсы'!$A$2:$A$139,0)),"")</f>
        <v/>
      </c>
      <c r="D122" s="9">
        <f>IFERROR(INDEX('Тест-кейсы'!$G$2:$G$139,MATCH($A122,'Тест-кейсы'!$A$2:$A$139,0)),"")</f>
        <v/>
      </c>
      <c r="E122" s="9">
        <f>IFERROR(INDEX('Тест-кейсы'!$I$2:$I$139,MATCH($A122,'Тест-кейсы'!$A$2:$A$139,0)),"")</f>
        <v/>
      </c>
      <c r="F122" s="9">
        <f>IFERROR(INDEX('Тест-кейсы'!$J$2:$J$139,MATCH($A122,'Тест-кейсы'!$A$2:$A$139,0)),"")</f>
        <v/>
      </c>
      <c r="G122" s="17" t="n"/>
      <c r="H122" s="17" t="n"/>
      <c r="I122" s="18" t="n"/>
    </row>
    <row r="123">
      <c r="A123" s="9" t="inlineStr">
        <is>
          <t>DET-08</t>
        </is>
      </c>
      <c r="B123" s="10">
        <f>IFERROR(INDEX('Тест-кейсы'!$B$2:$B$139,MATCH($A123,'Тест-кейсы'!$A$2:$A$139,0)),"")</f>
        <v/>
      </c>
      <c r="C123" s="10">
        <f>IFERROR(INDEX('Тест-кейсы'!$C$2:$C$139,MATCH($A123,'Тест-кейсы'!$A$2:$A$139,0)),"")</f>
        <v/>
      </c>
      <c r="D123" s="9">
        <f>IFERROR(INDEX('Тест-кейсы'!$G$2:$G$139,MATCH($A123,'Тест-кейсы'!$A$2:$A$139,0)),"")</f>
        <v/>
      </c>
      <c r="E123" s="9">
        <f>IFERROR(INDEX('Тест-кейсы'!$I$2:$I$139,MATCH($A123,'Тест-кейсы'!$A$2:$A$139,0)),"")</f>
        <v/>
      </c>
      <c r="F123" s="9">
        <f>IFERROR(INDEX('Тест-кейсы'!$J$2:$J$139,MATCH($A123,'Тест-кейсы'!$A$2:$A$139,0)),"")</f>
        <v/>
      </c>
      <c r="G123" s="17" t="n"/>
      <c r="H123" s="17" t="n"/>
      <c r="I123" s="18" t="n"/>
    </row>
    <row r="124">
      <c r="A124" s="9" t="inlineStr">
        <is>
          <t>ADDR-01</t>
        </is>
      </c>
      <c r="B124" s="10">
        <f>IFERROR(INDEX('Тест-кейсы'!$B$2:$B$139,MATCH($A124,'Тест-кейсы'!$A$2:$A$139,0)),"")</f>
        <v/>
      </c>
      <c r="C124" s="10">
        <f>IFERROR(INDEX('Тест-кейсы'!$C$2:$C$139,MATCH($A124,'Тест-кейсы'!$A$2:$A$139,0)),"")</f>
        <v/>
      </c>
      <c r="D124" s="9">
        <f>IFERROR(INDEX('Тест-кейсы'!$G$2:$G$139,MATCH($A124,'Тест-кейсы'!$A$2:$A$139,0)),"")</f>
        <v/>
      </c>
      <c r="E124" s="9">
        <f>IFERROR(INDEX('Тест-кейсы'!$I$2:$I$139,MATCH($A124,'Тест-кейсы'!$A$2:$A$139,0)),"")</f>
        <v/>
      </c>
      <c r="F124" s="9">
        <f>IFERROR(INDEX('Тест-кейсы'!$J$2:$J$139,MATCH($A124,'Тест-кейсы'!$A$2:$A$139,0)),"")</f>
        <v/>
      </c>
      <c r="G124" s="17" t="n"/>
      <c r="H124" s="17" t="n"/>
      <c r="I124" s="18" t="n"/>
    </row>
    <row r="125">
      <c r="A125" s="9" t="inlineStr">
        <is>
          <t>ADDR-02</t>
        </is>
      </c>
      <c r="B125" s="10">
        <f>IFERROR(INDEX('Тест-кейсы'!$B$2:$B$139,MATCH($A125,'Тест-кейсы'!$A$2:$A$139,0)),"")</f>
        <v/>
      </c>
      <c r="C125" s="10">
        <f>IFERROR(INDEX('Тест-кейсы'!$C$2:$C$139,MATCH($A125,'Тест-кейсы'!$A$2:$A$139,0)),"")</f>
        <v/>
      </c>
      <c r="D125" s="9">
        <f>IFERROR(INDEX('Тест-кейсы'!$G$2:$G$139,MATCH($A125,'Тест-кейсы'!$A$2:$A$139,0)),"")</f>
        <v/>
      </c>
      <c r="E125" s="9">
        <f>IFERROR(INDEX('Тест-кейсы'!$I$2:$I$139,MATCH($A125,'Тест-кейсы'!$A$2:$A$139,0)),"")</f>
        <v/>
      </c>
      <c r="F125" s="9">
        <f>IFERROR(INDEX('Тест-кейсы'!$J$2:$J$139,MATCH($A125,'Тест-кейсы'!$A$2:$A$139,0)),"")</f>
        <v/>
      </c>
      <c r="G125" s="17" t="n"/>
      <c r="H125" s="17" t="n"/>
      <c r="I125" s="18" t="n"/>
    </row>
    <row r="126">
      <c r="A126" s="9" t="inlineStr">
        <is>
          <t>ADDR-03</t>
        </is>
      </c>
      <c r="B126" s="10">
        <f>IFERROR(INDEX('Тест-кейсы'!$B$2:$B$139,MATCH($A126,'Тест-кейсы'!$A$2:$A$139,0)),"")</f>
        <v/>
      </c>
      <c r="C126" s="10">
        <f>IFERROR(INDEX('Тест-кейсы'!$C$2:$C$139,MATCH($A126,'Тест-кейсы'!$A$2:$A$139,0)),"")</f>
        <v/>
      </c>
      <c r="D126" s="9">
        <f>IFERROR(INDEX('Тест-кейсы'!$G$2:$G$139,MATCH($A126,'Тест-кейсы'!$A$2:$A$139,0)),"")</f>
        <v/>
      </c>
      <c r="E126" s="9">
        <f>IFERROR(INDEX('Тест-кейсы'!$I$2:$I$139,MATCH($A126,'Тест-кейсы'!$A$2:$A$139,0)),"")</f>
        <v/>
      </c>
      <c r="F126" s="9">
        <f>IFERROR(INDEX('Тест-кейсы'!$J$2:$J$139,MATCH($A126,'Тест-кейсы'!$A$2:$A$139,0)),"")</f>
        <v/>
      </c>
      <c r="G126" s="17" t="n"/>
      <c r="H126" s="17" t="n"/>
      <c r="I126" s="18" t="n"/>
    </row>
    <row r="127">
      <c r="A127" s="9" t="inlineStr">
        <is>
          <t>ADDR-04</t>
        </is>
      </c>
      <c r="B127" s="10">
        <f>IFERROR(INDEX('Тест-кейсы'!$B$2:$B$139,MATCH($A127,'Тест-кейсы'!$A$2:$A$139,0)),"")</f>
        <v/>
      </c>
      <c r="C127" s="10">
        <f>IFERROR(INDEX('Тест-кейсы'!$C$2:$C$139,MATCH($A127,'Тест-кейсы'!$A$2:$A$139,0)),"")</f>
        <v/>
      </c>
      <c r="D127" s="9">
        <f>IFERROR(INDEX('Тест-кейсы'!$G$2:$G$139,MATCH($A127,'Тест-кейсы'!$A$2:$A$139,0)),"")</f>
        <v/>
      </c>
      <c r="E127" s="9">
        <f>IFERROR(INDEX('Тест-кейсы'!$I$2:$I$139,MATCH($A127,'Тест-кейсы'!$A$2:$A$139,0)),"")</f>
        <v/>
      </c>
      <c r="F127" s="9">
        <f>IFERROR(INDEX('Тест-кейсы'!$J$2:$J$139,MATCH($A127,'Тест-кейсы'!$A$2:$A$139,0)),"")</f>
        <v/>
      </c>
      <c r="G127" s="17" t="n"/>
      <c r="H127" s="17" t="n"/>
      <c r="I127" s="18" t="n"/>
    </row>
    <row r="128">
      <c r="A128" s="9" t="inlineStr">
        <is>
          <t>ADDR-05</t>
        </is>
      </c>
      <c r="B128" s="10">
        <f>IFERROR(INDEX('Тест-кейсы'!$B$2:$B$139,MATCH($A128,'Тест-кейсы'!$A$2:$A$139,0)),"")</f>
        <v/>
      </c>
      <c r="C128" s="10">
        <f>IFERROR(INDEX('Тест-кейсы'!$C$2:$C$139,MATCH($A128,'Тест-кейсы'!$A$2:$A$139,0)),"")</f>
        <v/>
      </c>
      <c r="D128" s="9">
        <f>IFERROR(INDEX('Тест-кейсы'!$G$2:$G$139,MATCH($A128,'Тест-кейсы'!$A$2:$A$139,0)),"")</f>
        <v/>
      </c>
      <c r="E128" s="9">
        <f>IFERROR(INDEX('Тест-кейсы'!$I$2:$I$139,MATCH($A128,'Тест-кейсы'!$A$2:$A$139,0)),"")</f>
        <v/>
      </c>
      <c r="F128" s="9">
        <f>IFERROR(INDEX('Тест-кейсы'!$J$2:$J$139,MATCH($A128,'Тест-кейсы'!$A$2:$A$139,0)),"")</f>
        <v/>
      </c>
      <c r="G128" s="17" t="n"/>
      <c r="H128" s="17" t="n"/>
      <c r="I128" s="18" t="n"/>
    </row>
    <row r="129">
      <c r="A129" s="9" t="inlineStr">
        <is>
          <t>ADDR-06</t>
        </is>
      </c>
      <c r="B129" s="10">
        <f>IFERROR(INDEX('Тест-кейсы'!$B$2:$B$139,MATCH($A129,'Тест-кейсы'!$A$2:$A$139,0)),"")</f>
        <v/>
      </c>
      <c r="C129" s="10">
        <f>IFERROR(INDEX('Тест-кейсы'!$C$2:$C$139,MATCH($A129,'Тест-кейсы'!$A$2:$A$139,0)),"")</f>
        <v/>
      </c>
      <c r="D129" s="9">
        <f>IFERROR(INDEX('Тест-кейсы'!$G$2:$G$139,MATCH($A129,'Тест-кейсы'!$A$2:$A$139,0)),"")</f>
        <v/>
      </c>
      <c r="E129" s="9">
        <f>IFERROR(INDEX('Тест-кейсы'!$I$2:$I$139,MATCH($A129,'Тест-кейсы'!$A$2:$A$139,0)),"")</f>
        <v/>
      </c>
      <c r="F129" s="9">
        <f>IFERROR(INDEX('Тест-кейсы'!$J$2:$J$139,MATCH($A129,'Тест-кейсы'!$A$2:$A$139,0)),"")</f>
        <v/>
      </c>
      <c r="G129" s="17" t="n"/>
      <c r="H129" s="17" t="n"/>
      <c r="I129" s="18" t="n"/>
    </row>
    <row r="130">
      <c r="A130" s="9" t="inlineStr">
        <is>
          <t>ADDR-07</t>
        </is>
      </c>
      <c r="B130" s="10">
        <f>IFERROR(INDEX('Тест-кейсы'!$B$2:$B$139,MATCH($A130,'Тест-кейсы'!$A$2:$A$139,0)),"")</f>
        <v/>
      </c>
      <c r="C130" s="10">
        <f>IFERROR(INDEX('Тест-кейсы'!$C$2:$C$139,MATCH($A130,'Тест-кейсы'!$A$2:$A$139,0)),"")</f>
        <v/>
      </c>
      <c r="D130" s="9">
        <f>IFERROR(INDEX('Тест-кейсы'!$G$2:$G$139,MATCH($A130,'Тест-кейсы'!$A$2:$A$139,0)),"")</f>
        <v/>
      </c>
      <c r="E130" s="9">
        <f>IFERROR(INDEX('Тест-кейсы'!$I$2:$I$139,MATCH($A130,'Тест-кейсы'!$A$2:$A$139,0)),"")</f>
        <v/>
      </c>
      <c r="F130" s="9">
        <f>IFERROR(INDEX('Тест-кейсы'!$J$2:$J$139,MATCH($A130,'Тест-кейсы'!$A$2:$A$139,0)),"")</f>
        <v/>
      </c>
      <c r="G130" s="17" t="n"/>
      <c r="H130" s="17" t="n"/>
      <c r="I130" s="18" t="n"/>
    </row>
    <row r="131">
      <c r="A131" s="9" t="inlineStr">
        <is>
          <t>ADDR-08</t>
        </is>
      </c>
      <c r="B131" s="10">
        <f>IFERROR(INDEX('Тест-кейсы'!$B$2:$B$139,MATCH($A131,'Тест-кейсы'!$A$2:$A$139,0)),"")</f>
        <v/>
      </c>
      <c r="C131" s="10">
        <f>IFERROR(INDEX('Тест-кейсы'!$C$2:$C$139,MATCH($A131,'Тест-кейсы'!$A$2:$A$139,0)),"")</f>
        <v/>
      </c>
      <c r="D131" s="9">
        <f>IFERROR(INDEX('Тест-кейсы'!$G$2:$G$139,MATCH($A131,'Тест-кейсы'!$A$2:$A$139,0)),"")</f>
        <v/>
      </c>
      <c r="E131" s="9">
        <f>IFERROR(INDEX('Тест-кейсы'!$I$2:$I$139,MATCH($A131,'Тест-кейсы'!$A$2:$A$139,0)),"")</f>
        <v/>
      </c>
      <c r="F131" s="9">
        <f>IFERROR(INDEX('Тест-кейсы'!$J$2:$J$139,MATCH($A131,'Тест-кейсы'!$A$2:$A$139,0)),"")</f>
        <v/>
      </c>
      <c r="G131" s="17" t="n"/>
      <c r="H131" s="17" t="n"/>
      <c r="I131" s="18" t="n"/>
    </row>
    <row r="132">
      <c r="A132" s="9" t="inlineStr">
        <is>
          <t>CARD-01</t>
        </is>
      </c>
      <c r="B132" s="10">
        <f>IFERROR(INDEX('Тест-кейсы'!$B$2:$B$139,MATCH($A132,'Тест-кейсы'!$A$2:$A$139,0)),"")</f>
        <v/>
      </c>
      <c r="C132" s="10">
        <f>IFERROR(INDEX('Тест-кейсы'!$C$2:$C$139,MATCH($A132,'Тест-кейсы'!$A$2:$A$139,0)),"")</f>
        <v/>
      </c>
      <c r="D132" s="9">
        <f>IFERROR(INDEX('Тест-кейсы'!$G$2:$G$139,MATCH($A132,'Тест-кейсы'!$A$2:$A$139,0)),"")</f>
        <v/>
      </c>
      <c r="E132" s="9">
        <f>IFERROR(INDEX('Тест-кейсы'!$I$2:$I$139,MATCH($A132,'Тест-кейсы'!$A$2:$A$139,0)),"")</f>
        <v/>
      </c>
      <c r="F132" s="9">
        <f>IFERROR(INDEX('Тест-кейсы'!$J$2:$J$139,MATCH($A132,'Тест-кейсы'!$A$2:$A$139,0)),"")</f>
        <v/>
      </c>
      <c r="G132" s="17" t="n"/>
      <c r="H132" s="17" t="n"/>
      <c r="I132" s="18" t="n"/>
    </row>
    <row r="133">
      <c r="A133" s="9" t="inlineStr">
        <is>
          <t>CARD-02</t>
        </is>
      </c>
      <c r="B133" s="10">
        <f>IFERROR(INDEX('Тест-кейсы'!$B$2:$B$139,MATCH($A133,'Тест-кейсы'!$A$2:$A$139,0)),"")</f>
        <v/>
      </c>
      <c r="C133" s="10">
        <f>IFERROR(INDEX('Тест-кейсы'!$C$2:$C$139,MATCH($A133,'Тест-кейсы'!$A$2:$A$139,0)),"")</f>
        <v/>
      </c>
      <c r="D133" s="9">
        <f>IFERROR(INDEX('Тест-кейсы'!$G$2:$G$139,MATCH($A133,'Тест-кейсы'!$A$2:$A$139,0)),"")</f>
        <v/>
      </c>
      <c r="E133" s="9">
        <f>IFERROR(INDEX('Тест-кейсы'!$I$2:$I$139,MATCH($A133,'Тест-кейсы'!$A$2:$A$139,0)),"")</f>
        <v/>
      </c>
      <c r="F133" s="9">
        <f>IFERROR(INDEX('Тест-кейсы'!$J$2:$J$139,MATCH($A133,'Тест-кейсы'!$A$2:$A$139,0)),"")</f>
        <v/>
      </c>
      <c r="G133" s="17" t="n"/>
      <c r="H133" s="17" t="n"/>
      <c r="I133" s="18" t="n"/>
    </row>
    <row r="134">
      <c r="A134" s="9" t="inlineStr">
        <is>
          <t>CARD-03</t>
        </is>
      </c>
      <c r="B134" s="10">
        <f>IFERROR(INDEX('Тест-кейсы'!$B$2:$B$139,MATCH($A134,'Тест-кейсы'!$A$2:$A$139,0)),"")</f>
        <v/>
      </c>
      <c r="C134" s="10">
        <f>IFERROR(INDEX('Тест-кейсы'!$C$2:$C$139,MATCH($A134,'Тест-кейсы'!$A$2:$A$139,0)),"")</f>
        <v/>
      </c>
      <c r="D134" s="9">
        <f>IFERROR(INDEX('Тест-кейсы'!$G$2:$G$139,MATCH($A134,'Тест-кейсы'!$A$2:$A$139,0)),"")</f>
        <v/>
      </c>
      <c r="E134" s="9">
        <f>IFERROR(INDEX('Тест-кейсы'!$I$2:$I$139,MATCH($A134,'Тест-кейсы'!$A$2:$A$139,0)),"")</f>
        <v/>
      </c>
      <c r="F134" s="9">
        <f>IFERROR(INDEX('Тест-кейсы'!$J$2:$J$139,MATCH($A134,'Тест-кейсы'!$A$2:$A$139,0)),"")</f>
        <v/>
      </c>
      <c r="G134" s="17" t="n"/>
      <c r="H134" s="17" t="n"/>
      <c r="I134" s="18" t="n"/>
    </row>
    <row r="135">
      <c r="A135" s="9" t="inlineStr">
        <is>
          <t>CARD-04</t>
        </is>
      </c>
      <c r="B135" s="10">
        <f>IFERROR(INDEX('Тест-кейсы'!$B$2:$B$139,MATCH($A135,'Тест-кейсы'!$A$2:$A$139,0)),"")</f>
        <v/>
      </c>
      <c r="C135" s="10">
        <f>IFERROR(INDEX('Тест-кейсы'!$C$2:$C$139,MATCH($A135,'Тест-кейсы'!$A$2:$A$139,0)),"")</f>
        <v/>
      </c>
      <c r="D135" s="9">
        <f>IFERROR(INDEX('Тест-кейсы'!$G$2:$G$139,MATCH($A135,'Тест-кейсы'!$A$2:$A$139,0)),"")</f>
        <v/>
      </c>
      <c r="E135" s="9">
        <f>IFERROR(INDEX('Тест-кейсы'!$I$2:$I$139,MATCH($A135,'Тест-кейсы'!$A$2:$A$139,0)),"")</f>
        <v/>
      </c>
      <c r="F135" s="9">
        <f>IFERROR(INDEX('Тест-кейсы'!$J$2:$J$139,MATCH($A135,'Тест-кейсы'!$A$2:$A$139,0)),"")</f>
        <v/>
      </c>
      <c r="G135" s="17" t="n"/>
      <c r="H135" s="17" t="n"/>
      <c r="I135" s="18" t="n"/>
    </row>
    <row r="136">
      <c r="A136" s="9" t="inlineStr">
        <is>
          <t>CARD-05</t>
        </is>
      </c>
      <c r="B136" s="10">
        <f>IFERROR(INDEX('Тест-кейсы'!$B$2:$B$139,MATCH($A136,'Тест-кейсы'!$A$2:$A$139,0)),"")</f>
        <v/>
      </c>
      <c r="C136" s="10">
        <f>IFERROR(INDEX('Тест-кейсы'!$C$2:$C$139,MATCH($A136,'Тест-кейсы'!$A$2:$A$139,0)),"")</f>
        <v/>
      </c>
      <c r="D136" s="9">
        <f>IFERROR(INDEX('Тест-кейсы'!$G$2:$G$139,MATCH($A136,'Тест-кейсы'!$A$2:$A$139,0)),"")</f>
        <v/>
      </c>
      <c r="E136" s="9">
        <f>IFERROR(INDEX('Тест-кейсы'!$I$2:$I$139,MATCH($A136,'Тест-кейсы'!$A$2:$A$139,0)),"")</f>
        <v/>
      </c>
      <c r="F136" s="9">
        <f>IFERROR(INDEX('Тест-кейсы'!$J$2:$J$139,MATCH($A136,'Тест-кейсы'!$A$2:$A$139,0)),"")</f>
        <v/>
      </c>
      <c r="G136" s="17" t="n"/>
      <c r="H136" s="17" t="n"/>
      <c r="I136" s="18" t="n"/>
    </row>
    <row r="137">
      <c r="A137" s="9" t="inlineStr">
        <is>
          <t>SET-01</t>
        </is>
      </c>
      <c r="B137" s="10">
        <f>IFERROR(INDEX('Тест-кейсы'!$B$2:$B$139,MATCH($A137,'Тест-кейсы'!$A$2:$A$139,0)),"")</f>
        <v/>
      </c>
      <c r="C137" s="10">
        <f>IFERROR(INDEX('Тест-кейсы'!$C$2:$C$139,MATCH($A137,'Тест-кейсы'!$A$2:$A$139,0)),"")</f>
        <v/>
      </c>
      <c r="D137" s="9">
        <f>IFERROR(INDEX('Тест-кейсы'!$G$2:$G$139,MATCH($A137,'Тест-кейсы'!$A$2:$A$139,0)),"")</f>
        <v/>
      </c>
      <c r="E137" s="9">
        <f>IFERROR(INDEX('Тест-кейсы'!$I$2:$I$139,MATCH($A137,'Тест-кейсы'!$A$2:$A$139,0)),"")</f>
        <v/>
      </c>
      <c r="F137" s="9">
        <f>IFERROR(INDEX('Тест-кейсы'!$J$2:$J$139,MATCH($A137,'Тест-кейсы'!$A$2:$A$139,0)),"")</f>
        <v/>
      </c>
      <c r="G137" s="17" t="n"/>
      <c r="H137" s="17" t="n"/>
      <c r="I137" s="18" t="n"/>
    </row>
    <row r="138">
      <c r="A138" s="9" t="inlineStr">
        <is>
          <t>SET-02</t>
        </is>
      </c>
      <c r="B138" s="10">
        <f>IFERROR(INDEX('Тест-кейсы'!$B$2:$B$139,MATCH($A138,'Тест-кейсы'!$A$2:$A$139,0)),"")</f>
        <v/>
      </c>
      <c r="C138" s="10">
        <f>IFERROR(INDEX('Тест-кейсы'!$C$2:$C$139,MATCH($A138,'Тест-кейсы'!$A$2:$A$139,0)),"")</f>
        <v/>
      </c>
      <c r="D138" s="9">
        <f>IFERROR(INDEX('Тест-кейсы'!$G$2:$G$139,MATCH($A138,'Тест-кейсы'!$A$2:$A$139,0)),"")</f>
        <v/>
      </c>
      <c r="E138" s="9">
        <f>IFERROR(INDEX('Тест-кейсы'!$I$2:$I$139,MATCH($A138,'Тест-кейсы'!$A$2:$A$139,0)),"")</f>
        <v/>
      </c>
      <c r="F138" s="9">
        <f>IFERROR(INDEX('Тест-кейсы'!$J$2:$J$139,MATCH($A138,'Тест-кейсы'!$A$2:$A$139,0)),"")</f>
        <v/>
      </c>
      <c r="G138" s="17" t="n"/>
      <c r="H138" s="17" t="n"/>
      <c r="I138" s="18" t="n"/>
    </row>
    <row r="139">
      <c r="A139" s="9" t="inlineStr">
        <is>
          <t>SET-03</t>
        </is>
      </c>
      <c r="B139" s="10">
        <f>IFERROR(INDEX('Тест-кейсы'!$B$2:$B$139,MATCH($A139,'Тест-кейсы'!$A$2:$A$139,0)),"")</f>
        <v/>
      </c>
      <c r="C139" s="10">
        <f>IFERROR(INDEX('Тест-кейсы'!$C$2:$C$139,MATCH($A139,'Тест-кейсы'!$A$2:$A$139,0)),"")</f>
        <v/>
      </c>
      <c r="D139" s="9">
        <f>IFERROR(INDEX('Тест-кейсы'!$G$2:$G$139,MATCH($A139,'Тест-кейсы'!$A$2:$A$139,0)),"")</f>
        <v/>
      </c>
      <c r="E139" s="9">
        <f>IFERROR(INDEX('Тест-кейсы'!$I$2:$I$139,MATCH($A139,'Тест-кейсы'!$A$2:$A$139,0)),"")</f>
        <v/>
      </c>
      <c r="F139" s="9">
        <f>IFERROR(INDEX('Тест-кейсы'!$J$2:$J$139,MATCH($A139,'Тест-кейсы'!$A$2:$A$139,0)),"")</f>
        <v/>
      </c>
      <c r="G139" s="17" t="n"/>
      <c r="H139" s="17" t="n"/>
      <c r="I139" s="18" t="n"/>
    </row>
    <row r="140">
      <c r="A140" s="9" t="inlineStr">
        <is>
          <t>SET-04</t>
        </is>
      </c>
      <c r="B140" s="10">
        <f>IFERROR(INDEX('Тест-кейсы'!$B$2:$B$139,MATCH($A140,'Тест-кейсы'!$A$2:$A$139,0)),"")</f>
        <v/>
      </c>
      <c r="C140" s="10">
        <f>IFERROR(INDEX('Тест-кейсы'!$C$2:$C$139,MATCH($A140,'Тест-кейсы'!$A$2:$A$139,0)),"")</f>
        <v/>
      </c>
      <c r="D140" s="9">
        <f>IFERROR(INDEX('Тест-кейсы'!$G$2:$G$139,MATCH($A140,'Тест-кейсы'!$A$2:$A$139,0)),"")</f>
        <v/>
      </c>
      <c r="E140" s="9">
        <f>IFERROR(INDEX('Тест-кейсы'!$I$2:$I$139,MATCH($A140,'Тест-кейсы'!$A$2:$A$139,0)),"")</f>
        <v/>
      </c>
      <c r="F140" s="9">
        <f>IFERROR(INDEX('Тест-кейсы'!$J$2:$J$139,MATCH($A140,'Тест-кейсы'!$A$2:$A$139,0)),"")</f>
        <v/>
      </c>
      <c r="G140" s="17" t="n"/>
      <c r="H140" s="17" t="n"/>
      <c r="I140" s="18" t="n"/>
    </row>
    <row r="141">
      <c r="A141" s="9" t="inlineStr">
        <is>
          <t>SET-05</t>
        </is>
      </c>
      <c r="B141" s="10">
        <f>IFERROR(INDEX('Тест-кейсы'!$B$2:$B$139,MATCH($A141,'Тест-кейсы'!$A$2:$A$139,0)),"")</f>
        <v/>
      </c>
      <c r="C141" s="10">
        <f>IFERROR(INDEX('Тест-кейсы'!$C$2:$C$139,MATCH($A141,'Тест-кейсы'!$A$2:$A$139,0)),"")</f>
        <v/>
      </c>
      <c r="D141" s="9">
        <f>IFERROR(INDEX('Тест-кейсы'!$G$2:$G$139,MATCH($A141,'Тест-кейсы'!$A$2:$A$139,0)),"")</f>
        <v/>
      </c>
      <c r="E141" s="9">
        <f>IFERROR(INDEX('Тест-кейсы'!$I$2:$I$139,MATCH($A141,'Тест-кейсы'!$A$2:$A$139,0)),"")</f>
        <v/>
      </c>
      <c r="F141" s="9">
        <f>IFERROR(INDEX('Тест-кейсы'!$J$2:$J$139,MATCH($A141,'Тест-кейсы'!$A$2:$A$139,0)),"")</f>
        <v/>
      </c>
      <c r="G141" s="17" t="n"/>
      <c r="H141" s="17" t="n"/>
      <c r="I141" s="18" t="n"/>
    </row>
    <row r="142">
      <c r="A142" s="9" t="inlineStr">
        <is>
          <t>SET-06</t>
        </is>
      </c>
      <c r="B142" s="10">
        <f>IFERROR(INDEX('Тест-кейсы'!$B$2:$B$139,MATCH($A142,'Тест-кейсы'!$A$2:$A$139,0)),"")</f>
        <v/>
      </c>
      <c r="C142" s="10">
        <f>IFERROR(INDEX('Тест-кейсы'!$C$2:$C$139,MATCH($A142,'Тест-кейсы'!$A$2:$A$139,0)),"")</f>
        <v/>
      </c>
      <c r="D142" s="9">
        <f>IFERROR(INDEX('Тест-кейсы'!$G$2:$G$139,MATCH($A142,'Тест-кейсы'!$A$2:$A$139,0)),"")</f>
        <v/>
      </c>
      <c r="E142" s="9">
        <f>IFERROR(INDEX('Тест-кейсы'!$I$2:$I$139,MATCH($A142,'Тест-кейсы'!$A$2:$A$139,0)),"")</f>
        <v/>
      </c>
      <c r="F142" s="9">
        <f>IFERROR(INDEX('Тест-кейсы'!$J$2:$J$139,MATCH($A142,'Тест-кейсы'!$A$2:$A$139,0)),"")</f>
        <v/>
      </c>
      <c r="G142" s="17" t="n"/>
      <c r="H142" s="17" t="n"/>
      <c r="I142" s="18" t="n"/>
    </row>
    <row r="143">
      <c r="A143" s="9" t="inlineStr">
        <is>
          <t>GEN-01</t>
        </is>
      </c>
      <c r="B143" s="10">
        <f>IFERROR(INDEX('Тест-кейсы'!$B$2:$B$139,MATCH($A143,'Тест-кейсы'!$A$2:$A$139,0)),"")</f>
        <v/>
      </c>
      <c r="C143" s="10">
        <f>IFERROR(INDEX('Тест-кейсы'!$C$2:$C$139,MATCH($A143,'Тест-кейсы'!$A$2:$A$139,0)),"")</f>
        <v/>
      </c>
      <c r="D143" s="9">
        <f>IFERROR(INDEX('Тест-кейсы'!$G$2:$G$139,MATCH($A143,'Тест-кейсы'!$A$2:$A$139,0)),"")</f>
        <v/>
      </c>
      <c r="E143" s="9">
        <f>IFERROR(INDEX('Тест-кейсы'!$I$2:$I$139,MATCH($A143,'Тест-кейсы'!$A$2:$A$139,0)),"")</f>
        <v/>
      </c>
      <c r="F143" s="9">
        <f>IFERROR(INDEX('Тест-кейсы'!$J$2:$J$139,MATCH($A143,'Тест-кейсы'!$A$2:$A$139,0)),"")</f>
        <v/>
      </c>
      <c r="G143" s="17" t="n"/>
      <c r="H143" s="17" t="n"/>
      <c r="I143" s="18" t="n"/>
    </row>
    <row r="144">
      <c r="A144" s="9" t="inlineStr">
        <is>
          <t>GEN-02</t>
        </is>
      </c>
      <c r="B144" s="10">
        <f>IFERROR(INDEX('Тест-кейсы'!$B$2:$B$139,MATCH($A144,'Тест-кейсы'!$A$2:$A$139,0)),"")</f>
        <v/>
      </c>
      <c r="C144" s="10">
        <f>IFERROR(INDEX('Тест-кейсы'!$C$2:$C$139,MATCH($A144,'Тест-кейсы'!$A$2:$A$139,0)),"")</f>
        <v/>
      </c>
      <c r="D144" s="9">
        <f>IFERROR(INDEX('Тест-кейсы'!$G$2:$G$139,MATCH($A144,'Тест-кейсы'!$A$2:$A$139,0)),"")</f>
        <v/>
      </c>
      <c r="E144" s="9">
        <f>IFERROR(INDEX('Тест-кейсы'!$I$2:$I$139,MATCH($A144,'Тест-кейсы'!$A$2:$A$139,0)),"")</f>
        <v/>
      </c>
      <c r="F144" s="9">
        <f>IFERROR(INDEX('Тест-кейсы'!$J$2:$J$139,MATCH($A144,'Тест-кейсы'!$A$2:$A$139,0)),"")</f>
        <v/>
      </c>
      <c r="G144" s="17" t="n"/>
      <c r="H144" s="17" t="n"/>
      <c r="I144" s="18" t="n"/>
    </row>
    <row r="145">
      <c r="A145" s="9" t="inlineStr">
        <is>
          <t>GEN-03</t>
        </is>
      </c>
      <c r="B145" s="10">
        <f>IFERROR(INDEX('Тест-кейсы'!$B$2:$B$139,MATCH($A145,'Тест-кейсы'!$A$2:$A$139,0)),"")</f>
        <v/>
      </c>
      <c r="C145" s="10">
        <f>IFERROR(INDEX('Тест-кейсы'!$C$2:$C$139,MATCH($A145,'Тест-кейсы'!$A$2:$A$139,0)),"")</f>
        <v/>
      </c>
      <c r="D145" s="9">
        <f>IFERROR(INDEX('Тест-кейсы'!$G$2:$G$139,MATCH($A145,'Тест-кейсы'!$A$2:$A$139,0)),"")</f>
        <v/>
      </c>
      <c r="E145" s="9">
        <f>IFERROR(INDEX('Тест-кейсы'!$I$2:$I$139,MATCH($A145,'Тест-кейсы'!$A$2:$A$139,0)),"")</f>
        <v/>
      </c>
      <c r="F145" s="9">
        <f>IFERROR(INDEX('Тест-кейсы'!$J$2:$J$139,MATCH($A145,'Тест-кейсы'!$A$2:$A$139,0)),"")</f>
        <v/>
      </c>
      <c r="G145" s="17" t="n"/>
      <c r="H145" s="17" t="n"/>
      <c r="I145" s="18" t="n"/>
    </row>
    <row r="146">
      <c r="A146" s="9" t="inlineStr">
        <is>
          <t>GEN-04</t>
        </is>
      </c>
      <c r="B146" s="10">
        <f>IFERROR(INDEX('Тест-кейсы'!$B$2:$B$139,MATCH($A146,'Тест-кейсы'!$A$2:$A$139,0)),"")</f>
        <v/>
      </c>
      <c r="C146" s="10">
        <f>IFERROR(INDEX('Тест-кейсы'!$C$2:$C$139,MATCH($A146,'Тест-кейсы'!$A$2:$A$139,0)),"")</f>
        <v/>
      </c>
      <c r="D146" s="9">
        <f>IFERROR(INDEX('Тест-кейсы'!$G$2:$G$139,MATCH($A146,'Тест-кейсы'!$A$2:$A$139,0)),"")</f>
        <v/>
      </c>
      <c r="E146" s="9">
        <f>IFERROR(INDEX('Тест-кейсы'!$I$2:$I$139,MATCH($A146,'Тест-кейсы'!$A$2:$A$139,0)),"")</f>
        <v/>
      </c>
      <c r="F146" s="9">
        <f>IFERROR(INDEX('Тест-кейсы'!$J$2:$J$139,MATCH($A146,'Тест-кейсы'!$A$2:$A$139,0)),"")</f>
        <v/>
      </c>
      <c r="G146" s="17" t="n"/>
      <c r="H146" s="17" t="n"/>
      <c r="I146" s="18" t="n"/>
    </row>
    <row r="147">
      <c r="A147" s="9" t="inlineStr">
        <is>
          <t>GEN-05</t>
        </is>
      </c>
      <c r="B147" s="10">
        <f>IFERROR(INDEX('Тест-кейсы'!$B$2:$B$139,MATCH($A147,'Тест-кейсы'!$A$2:$A$139,0)),"")</f>
        <v/>
      </c>
      <c r="C147" s="10">
        <f>IFERROR(INDEX('Тест-кейсы'!$C$2:$C$139,MATCH($A147,'Тест-кейсы'!$A$2:$A$139,0)),"")</f>
        <v/>
      </c>
      <c r="D147" s="9">
        <f>IFERROR(INDEX('Тест-кейсы'!$G$2:$G$139,MATCH($A147,'Тест-кейсы'!$A$2:$A$139,0)),"")</f>
        <v/>
      </c>
      <c r="E147" s="9">
        <f>IFERROR(INDEX('Тест-кейсы'!$I$2:$I$139,MATCH($A147,'Тест-кейсы'!$A$2:$A$139,0)),"")</f>
        <v/>
      </c>
      <c r="F147" s="9">
        <f>IFERROR(INDEX('Тест-кейсы'!$J$2:$J$139,MATCH($A147,'Тест-кейсы'!$A$2:$A$139,0)),"")</f>
        <v/>
      </c>
      <c r="G147" s="17" t="n"/>
      <c r="H147" s="17" t="n"/>
      <c r="I147" s="18" t="n"/>
    </row>
    <row r="148">
      <c r="A148" s="9" t="inlineStr">
        <is>
          <t>GEN-06</t>
        </is>
      </c>
      <c r="B148" s="10">
        <f>IFERROR(INDEX('Тест-кейсы'!$B$2:$B$139,MATCH($A148,'Тест-кейсы'!$A$2:$A$139,0)),"")</f>
        <v/>
      </c>
      <c r="C148" s="10">
        <f>IFERROR(INDEX('Тест-кейсы'!$C$2:$C$139,MATCH($A148,'Тест-кейсы'!$A$2:$A$139,0)),"")</f>
        <v/>
      </c>
      <c r="D148" s="9">
        <f>IFERROR(INDEX('Тест-кейсы'!$G$2:$G$139,MATCH($A148,'Тест-кейсы'!$A$2:$A$139,0)),"")</f>
        <v/>
      </c>
      <c r="E148" s="9">
        <f>IFERROR(INDEX('Тест-кейсы'!$I$2:$I$139,MATCH($A148,'Тест-кейсы'!$A$2:$A$139,0)),"")</f>
        <v/>
      </c>
      <c r="F148" s="9">
        <f>IFERROR(INDEX('Тест-кейсы'!$J$2:$J$139,MATCH($A148,'Тест-кейсы'!$A$2:$A$139,0)),"")</f>
        <v/>
      </c>
      <c r="G148" s="17" t="n"/>
      <c r="H148" s="17" t="n"/>
      <c r="I148" s="18" t="n"/>
    </row>
    <row r="149">
      <c r="A149" s="9" t="inlineStr">
        <is>
          <t>GEN-07</t>
        </is>
      </c>
      <c r="B149" s="10">
        <f>IFERROR(INDEX('Тест-кейсы'!$B$2:$B$139,MATCH($A149,'Тест-кейсы'!$A$2:$A$139,0)),"")</f>
        <v/>
      </c>
      <c r="C149" s="10">
        <f>IFERROR(INDEX('Тест-кейсы'!$C$2:$C$139,MATCH($A149,'Тест-кейсы'!$A$2:$A$139,0)),"")</f>
        <v/>
      </c>
      <c r="D149" s="9">
        <f>IFERROR(INDEX('Тест-кейсы'!$G$2:$G$139,MATCH($A149,'Тест-кейсы'!$A$2:$A$139,0)),"")</f>
        <v/>
      </c>
      <c r="E149" s="9">
        <f>IFERROR(INDEX('Тест-кейсы'!$I$2:$I$139,MATCH($A149,'Тест-кейсы'!$A$2:$A$139,0)),"")</f>
        <v/>
      </c>
      <c r="F149" s="9">
        <f>IFERROR(INDEX('Тест-кейсы'!$J$2:$J$139,MATCH($A149,'Тест-кейсы'!$A$2:$A$139,0)),"")</f>
        <v/>
      </c>
      <c r="G149" s="17" t="n"/>
      <c r="H149" s="17" t="n"/>
      <c r="I149" s="18" t="n"/>
    </row>
  </sheetData>
  <autoFilter ref="A11:I149"/>
  <mergeCells count="5">
    <mergeCell ref="B6:C6"/>
    <mergeCell ref="B7:C7"/>
    <mergeCell ref="B3:C3"/>
    <mergeCell ref="B5:C5"/>
    <mergeCell ref="B4:C4"/>
  </mergeCells>
  <conditionalFormatting sqref="G12:G149">
    <cfRule type="cellIs" priority="1" operator="equal" dxfId="3">
      <formula>"Pass"</formula>
    </cfRule>
    <cfRule type="cellIs" priority="2" operator="equal" dxfId="0">
      <formula>"Fail"</formula>
    </cfRule>
    <cfRule type="cellIs" priority="3" operator="equal" dxfId="1">
      <formula>"Blocked"</formula>
    </cfRule>
    <cfRule type="cellIs" priority="4" operator="equal" dxfId="6">
      <formula>"Skip"</formula>
    </cfRule>
  </conditionalFormatting>
  <conditionalFormatting sqref="E12:E149">
    <cfRule type="cellIs" priority="5" operator="equal" dxfId="0">
      <formula>"Smoke"</formula>
    </cfRule>
    <cfRule type="cellIs" priority="6" operator="equal" dxfId="1">
      <formula>"Sanity"</formula>
    </cfRule>
    <cfRule type="cellIs" priority="7" operator="equal" dxfId="2">
      <formula>"Regression"</formula>
    </cfRule>
  </conditionalFormatting>
  <dataValidations count="2">
    <dataValidation sqref="B7" showDropDown="0" showInputMessage="0" showErrorMessage="0" allowBlank="1" type="list">
      <formula1>"Smoke,Sanity,Регресс,Ретест"</formula1>
    </dataValidation>
    <dataValidation sqref="G12:G149" showDropDown="0" showInputMessage="0" showErrorMessage="0" allowBlank="1" type="list">
      <formula1>"Pass,Fail,Blocked,Skip"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zoomScale="11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38" customWidth="1" min="3" max="3"/>
    <col width="42" customWidth="1" min="4" max="4"/>
    <col width="45" customWidth="1" min="5" max="5"/>
    <col width="36" customWidth="1" min="6" max="6"/>
    <col width="11" customWidth="1" min="7" max="7"/>
    <col width="15" customWidth="1" min="8" max="8"/>
    <col width="22" customWidth="1" min="9" max="9"/>
    <col width="9" customWidth="1" min="10" max="10"/>
    <col width="11" customWidth="1" min="11" max="11"/>
    <col width="26" customWidth="1" min="12" max="12"/>
  </cols>
  <sheetData>
    <row r="1">
      <c r="A1" s="7" t="inlineStr">
        <is>
          <t>ID</t>
        </is>
      </c>
      <c r="B1" s="7" t="inlineStr">
        <is>
          <t>Модуль</t>
        </is>
      </c>
      <c r="C1" s="7" t="inlineStr">
        <is>
          <t>Заголовок</t>
        </is>
      </c>
      <c r="D1" s="7" t="inlineStr">
        <is>
          <t>Шаги</t>
        </is>
      </c>
      <c r="E1" s="7" t="inlineStr">
        <is>
          <t>Факт</t>
        </is>
      </c>
      <c r="F1" s="7" t="inlineStr">
        <is>
          <t>Ожидание</t>
        </is>
      </c>
      <c r="G1" s="7" t="inlineStr">
        <is>
          <t>Серьёзность</t>
        </is>
      </c>
      <c r="H1" s="7" t="inlineStr">
        <is>
          <t>Статус</t>
        </is>
      </c>
      <c r="I1" s="7" t="inlineStr">
        <is>
          <t>Найден в</t>
        </is>
      </c>
      <c r="J1" s="7" t="inlineStr">
        <is>
          <t>Кейс</t>
        </is>
      </c>
      <c r="K1" s="7" t="inlineStr">
        <is>
          <t>Дата</t>
        </is>
      </c>
      <c r="L1" s="7" t="inlineStr">
        <is>
          <t>Комментарий / трекер</t>
        </is>
      </c>
    </row>
    <row r="2">
      <c r="A2" s="9" t="inlineStr">
        <is>
          <t>BUG-001</t>
        </is>
      </c>
      <c r="B2" s="10" t="inlineStr">
        <is>
          <t>Заказы</t>
        </is>
      </c>
      <c r="C2" s="10" t="inlineStr">
        <is>
          <t>«Jami» не включает стоимость доставки</t>
        </is>
      </c>
      <c r="D2" s="10" t="inlineStr">
        <is>
          <t>1. Profile → Buyurtmalar.
2. Открыть TEZ00789 или TEZ00798.</t>
        </is>
      </c>
      <c r="E2" s="10" t="inlineStr">
        <is>
          <t>Mahsulotlar uchun 2 700 + Yetkazib berish 15 000 → Jami 2 700 (TEZ00798: 3 000 + 14 000 → 3 000). В списке заказов тоже 2 700.</t>
        </is>
      </c>
      <c r="F2" s="10" t="inlineStr">
        <is>
          <t>Jami = 17 700 (товары + доставка) либо доставка не показывается, если не взимается.</t>
        </is>
      </c>
      <c r="G2" s="9" t="inlineStr">
        <is>
          <t>Critical</t>
        </is>
      </c>
      <c r="H2" s="9" t="inlineStr">
        <is>
          <t>Не баг</t>
        </is>
      </c>
      <c r="I2" s="10" t="inlineStr">
        <is>
          <t>Эмулятор, v1.1.8 (43)</t>
        </is>
      </c>
      <c r="J2" s="9" t="inlineStr">
        <is>
          <t>ORDH-03</t>
        </is>
      </c>
      <c r="K2" s="9" t="inlineStr">
        <is>
          <t>2026-09-29</t>
        </is>
      </c>
      <c r="L2" s="10" t="inlineStr"/>
    </row>
    <row r="3">
      <c r="A3" s="9" t="inlineStr">
        <is>
          <t>BUG-002</t>
        </is>
      </c>
      <c r="B3" s="10" t="inlineStr">
        <is>
          <t>Оформление</t>
        </is>
      </c>
      <c r="C3" s="10" t="inlineStr">
        <is>
          <t>Телефон получателя можно сохранить пустым или неполным</t>
        </is>
      </c>
      <c r="D3" s="10" t="inlineStr">
        <is>
          <t>1. Корзина → To'lovga o'tish.
2. Нажать строку получателя.
3. Стереть телефон (или оставить 8 цифр) → Saqlash.</t>
        </is>
      </c>
      <c r="E3" s="10" t="inlineStr">
        <is>
          <t>Сохраняется без ошибки, «Buyurtma qilish» остаётся активной.</t>
        </is>
      </c>
      <c r="F3" s="10" t="inlineStr">
        <is>
          <t>Ошибка валидации, заказ без корректного контакта оформить нельзя.</t>
        </is>
      </c>
      <c r="G3" s="9" t="inlineStr">
        <is>
          <t>Major</t>
        </is>
      </c>
      <c r="H3" s="9" t="inlineStr">
        <is>
          <t>Новый</t>
        </is>
      </c>
      <c r="I3" s="10" t="inlineStr">
        <is>
          <t>Эмулятор, v1.1.8 (43)</t>
        </is>
      </c>
      <c r="J3" s="9" t="inlineStr">
        <is>
          <t>CHK-06</t>
        </is>
      </c>
      <c r="K3" s="9" t="inlineStr">
        <is>
          <t>2026-09-29</t>
        </is>
      </c>
      <c r="L3" s="10" t="inlineStr"/>
    </row>
    <row r="4">
      <c r="A4" s="9" t="inlineStr">
        <is>
          <t>BUG-003</t>
        </is>
      </c>
      <c r="B4" s="10" t="inlineStr">
        <is>
          <t>Адреса</t>
        </is>
      </c>
      <c r="C4" s="10" t="inlineStr">
        <is>
          <t>Разные списки адресов в разных местах; текущий адрес не отмечен при оформлении</t>
        </is>
      </c>
      <c r="D4" s="10" t="inlineStr">
        <is>
          <t>1. Оформление → строка адреса.
2. Сравнить с Profile → Manzillar и шапкой Home.</t>
        </is>
      </c>
      <c r="E4" s="10" t="inlineStr">
        <is>
          <t>При оформлении: «Beshqo'rg'on, Norin» и «Chust, Chust tumani», ни один не отмечен. В профиле и шапке: «Charog'on ko'chasi, Chust» и «Yashnobod, Toshkent».</t>
        </is>
      </c>
      <c r="F4" s="10" t="inlineStr">
        <is>
          <t>Один и тот же набор адресов везде, текущий отмечен.</t>
        </is>
      </c>
      <c r="G4" s="9" t="inlineStr">
        <is>
          <t>Major</t>
        </is>
      </c>
      <c r="H4" s="9" t="inlineStr">
        <is>
          <t>Перепроверить</t>
        </is>
      </c>
      <c r="I4" s="10" t="inlineStr">
        <is>
          <t>Эмулятор, v1.1.8 (43)</t>
        </is>
      </c>
      <c r="J4" s="9" t="inlineStr">
        <is>
          <t>ADDR-02</t>
        </is>
      </c>
      <c r="K4" s="9" t="inlineStr">
        <is>
          <t>2026-09-29</t>
        </is>
      </c>
      <c r="L4" s="10" t="inlineStr"/>
    </row>
    <row r="5">
      <c r="A5" s="9" t="inlineStr">
        <is>
          <t>BUG-004</t>
        </is>
      </c>
      <c r="B5" s="10" t="inlineStr">
        <is>
          <t>Адреса</t>
        </is>
      </c>
      <c r="C5" s="10" t="inlineStr">
        <is>
          <t>Список меток адреса пуст</t>
        </is>
      </c>
      <c r="D5" s="10" t="inlineStr">
        <is>
          <t>1. Profile → Manzillar → адрес.
2. Нажать «Manzil belgisi».</t>
        </is>
      </c>
      <c r="E5" s="10" t="inlineStr">
        <is>
          <t>«So'rov bo'yicha hech qanday natija topilmadi»; все адреса называются «Boshlang'ich manzil».</t>
        </is>
      </c>
      <c r="F5" s="10" t="inlineStr">
        <is>
          <t>Список меток (Uy / Ish / ...) доступен для выбора.</t>
        </is>
      </c>
      <c r="G5" s="9" t="inlineStr">
        <is>
          <t>Minor</t>
        </is>
      </c>
      <c r="H5" s="9" t="inlineStr">
        <is>
          <t>Закрыт</t>
        </is>
      </c>
      <c r="I5" s="10" t="inlineStr">
        <is>
          <t>Эмулятор, v1.1.8 (43)</t>
        </is>
      </c>
      <c r="J5" s="9" t="inlineStr">
        <is>
          <t>ADDR-07</t>
        </is>
      </c>
      <c r="K5" s="9" t="inlineStr">
        <is>
          <t>2026-09-29</t>
        </is>
      </c>
      <c r="L5" s="10" t="inlineStr"/>
    </row>
    <row r="6">
      <c r="A6" s="9" t="inlineStr">
        <is>
          <t>BUG-005</t>
        </is>
      </c>
      <c r="B6" s="10" t="inlineStr">
        <is>
          <t>Адреса</t>
        </is>
      </c>
      <c r="C6" s="10" t="inlineStr">
        <is>
          <t>Карта не отрисовывается, приложение зависает (ANR)</t>
        </is>
      </c>
      <c r="D6" s="10" t="inlineStr">
        <is>
          <t>1. Profile → Manzillar → «Manzil qo'shish».
2. Подождать, закрыть экран.</t>
        </is>
      </c>
      <c r="E6" s="10" t="inlineStr">
        <is>
          <t>Серый фон вместо карты; через ~1 минуту системное «Tez Chakana isn't responding», после перезапуска бесконечная загрузка Home.</t>
        </is>
      </c>
      <c r="F6" s="10" t="inlineStr">
        <is>
          <t>Карта отрисована, приложение отзывчиво.</t>
        </is>
      </c>
      <c r="G6" s="9" t="inlineStr">
        <is>
          <t>Major</t>
        </is>
      </c>
      <c r="H6" s="9" t="inlineStr">
        <is>
          <t>Проверить на телефоне</t>
        </is>
      </c>
      <c r="I6" s="10" t="inlineStr">
        <is>
          <t>Эмулятор Android 17 при нехватке памяти хоста</t>
        </is>
      </c>
      <c r="J6" s="9" t="inlineStr">
        <is>
          <t>ADDR-04</t>
        </is>
      </c>
      <c r="K6" s="9" t="inlineStr">
        <is>
          <t>2026-09-29</t>
        </is>
      </c>
      <c r="L6" s="10" t="inlineStr"/>
    </row>
    <row r="7">
      <c r="A7" s="9" t="inlineStr">
        <is>
          <t>BUG-006</t>
        </is>
      </c>
      <c r="B7" s="10" t="inlineStr">
        <is>
          <t>Мои данные</t>
        </is>
      </c>
      <c r="C7" s="10" t="inlineStr">
        <is>
          <t>Нельзя сохранить e-mail</t>
        </is>
      </c>
      <c r="D7" s="10" t="inlineStr">
        <is>
          <t>1. Mening tafsilotlarim.
2. Ввести «abc@test.uz».</t>
        </is>
      </c>
      <c r="E7" s="10" t="inlineStr">
        <is>
          <t>Кнопка «Saqlash» остаётся неактивной.</t>
        </is>
      </c>
      <c r="F7" s="10" t="inlineStr">
        <is>
          <t>«Saqlash» активна, e-mail сохраняется.</t>
        </is>
      </c>
      <c r="G7" s="9" t="inlineStr">
        <is>
          <t>Minor</t>
        </is>
      </c>
      <c r="H7" s="9" t="inlineStr">
        <is>
          <t>Закрыт</t>
        </is>
      </c>
      <c r="I7" s="10" t="inlineStr">
        <is>
          <t>Эмулятор, v1.1.8 (43)</t>
        </is>
      </c>
      <c r="J7" s="9" t="inlineStr">
        <is>
          <t>DET-03</t>
        </is>
      </c>
      <c r="K7" s="9" t="inlineStr">
        <is>
          <t>2026-09-29</t>
        </is>
      </c>
      <c r="L7" s="10" t="inlineStr"/>
    </row>
    <row r="8">
      <c r="A8" s="9" t="inlineStr">
        <is>
          <t>BUG-007</t>
        </is>
      </c>
      <c r="B8" s="10" t="inlineStr">
        <is>
          <t>Оформление</t>
        </is>
      </c>
      <c r="C8" s="10" t="inlineStr">
        <is>
          <t>Комментарий применяется без «Saqlash»</t>
        </is>
      </c>
      <c r="D8" s="10" t="inlineStr">
        <is>
          <t>1. Оформление → Kuryerga izoh qoldirish.
2. Ввести текст и Xonadon.
3. Закрыть ×.</t>
        </is>
      </c>
      <c r="E8" s="10" t="inlineStr">
        <is>
          <t>Текст комментария появляется в строке на экране оформления.</t>
        </is>
      </c>
      <c r="F8" s="10" t="inlineStr">
        <is>
          <t>Закрытие без «Saqlash» отменяет изменения.</t>
        </is>
      </c>
      <c r="G8" s="9" t="inlineStr">
        <is>
          <t>Minor</t>
        </is>
      </c>
      <c r="H8" s="9" t="inlineStr">
        <is>
          <t>Новый</t>
        </is>
      </c>
      <c r="I8" s="10" t="inlineStr">
        <is>
          <t>Эмулятор, v1.1.8 (43)</t>
        </is>
      </c>
      <c r="J8" s="9" t="inlineStr">
        <is>
          <t>CHK-08</t>
        </is>
      </c>
      <c r="K8" s="9" t="inlineStr">
        <is>
          <t>2026-09-29</t>
        </is>
      </c>
      <c r="L8" s="10" t="inlineStr"/>
    </row>
    <row r="9">
      <c r="A9" s="9" t="inlineStr">
        <is>
          <t>BUG-008</t>
        </is>
      </c>
      <c r="B9" s="10" t="inlineStr">
        <is>
          <t>Оформление</t>
        </is>
      </c>
      <c r="C9" s="10" t="inlineStr">
        <is>
          <t>Ошибка промокода на английском</t>
        </is>
      </c>
      <c r="D9" s="10" t="inlineStr">
        <is>
          <t>1. Оформление → Promokod.
2. Ввести «TESTXYZ123» → Tasdiqlash.</t>
        </is>
      </c>
      <c r="E9" s="10" t="inlineStr">
        <is>
          <t>«Promo code 'TESTXYZ123' not found or inactive.» при узбекском интерфейсе.</t>
        </is>
      </c>
      <c r="F9" s="10" t="inlineStr">
        <is>
          <t>Сообщение на языке интерфейса.</t>
        </is>
      </c>
      <c r="G9" s="9" t="inlineStr">
        <is>
          <t>Minor</t>
        </is>
      </c>
      <c r="H9" s="9" t="inlineStr">
        <is>
          <t>Новый</t>
        </is>
      </c>
      <c r="I9" s="10" t="inlineStr">
        <is>
          <t>Эмулятор, v1.1.8 (43)</t>
        </is>
      </c>
      <c r="J9" s="9" t="inlineStr">
        <is>
          <t>CHK-12</t>
        </is>
      </c>
      <c r="K9" s="9" t="inlineStr">
        <is>
          <t>2026-09-29</t>
        </is>
      </c>
      <c r="L9" s="10" t="inlineStr"/>
    </row>
    <row r="10">
      <c r="A10" s="9" t="inlineStr">
        <is>
          <t>BUG-009</t>
        </is>
      </c>
      <c r="B10" s="10" t="inlineStr">
        <is>
          <t>Home</t>
        </is>
      </c>
      <c r="C10" s="10" t="inlineStr">
        <is>
          <t>Закрытые магазины при первой загрузке показаны как «Ochiq»</t>
        </is>
      </c>
      <c r="D10" s="10" t="inlineStr">
        <is>
          <t>1. В 09:04 холодно запустить приложение.
2. Посмотреть Suvenir.uz (10:00–19:00) и Lazzat (10:00–22:00).
3. Переключить чип и вернуться в Hammasi.</t>
        </is>
      </c>
      <c r="E10" s="10" t="inlineStr">
        <is>
          <t>Сначала «Ochiq», после обновления списка — «Yopiq».</t>
        </is>
      </c>
      <c r="F10" s="10" t="inlineStr">
        <is>
          <t>Сразу «Yopiq».</t>
        </is>
      </c>
      <c r="G10" s="9" t="inlineStr">
        <is>
          <t>Major</t>
        </is>
      </c>
      <c r="H10" s="9" t="inlineStr">
        <is>
          <t>Новый</t>
        </is>
      </c>
      <c r="I10" s="10" t="inlineStr">
        <is>
          <t>Эмулятор, v1.1.8 (43)</t>
        </is>
      </c>
      <c r="J10" s="9" t="inlineStr">
        <is>
          <t>HOME-03</t>
        </is>
      </c>
      <c r="K10" s="9" t="inlineStr">
        <is>
          <t>2026-09-29</t>
        </is>
      </c>
      <c r="L10" s="10" t="inlineStr"/>
    </row>
    <row r="11">
      <c r="A11" s="9" t="inlineStr">
        <is>
          <t>BUG-010</t>
        </is>
      </c>
      <c r="B11" s="10" t="inlineStr">
        <is>
          <t>Home</t>
        </is>
      </c>
      <c r="C11" s="10" t="inlineStr">
        <is>
          <t>Пустая категория пишет «не доставляем по этому адресу»</t>
        </is>
      </c>
      <c r="D11" s="10" t="inlineStr">
        <is>
          <t>1. Home → чип «Qandolat».</t>
        </is>
      </c>
      <c r="E11" s="10" t="inlineStr">
        <is>
          <t>«Hozircha bu manzilga yetkazib bermaymiz» + «Boshqa manzil tanlash», хотя по адресу доставка есть.</t>
        </is>
      </c>
      <c r="F11" s="10" t="inlineStr">
        <is>
          <t>Текст «в этой категории пока нет магазинов».</t>
        </is>
      </c>
      <c r="G11" s="9" t="inlineStr">
        <is>
          <t>Minor</t>
        </is>
      </c>
      <c r="H11" s="9" t="inlineStr">
        <is>
          <t>Новый</t>
        </is>
      </c>
      <c r="I11" s="10" t="inlineStr">
        <is>
          <t>Эмулятор, v1.1.8 (43)</t>
        </is>
      </c>
      <c r="J11" s="9" t="inlineStr">
        <is>
          <t>HOME-06</t>
        </is>
      </c>
      <c r="K11" s="9" t="inlineStr">
        <is>
          <t>2026-09-29</t>
        </is>
      </c>
      <c r="L11" s="10" t="inlineStr"/>
    </row>
    <row r="12">
      <c r="A12" s="9" t="inlineStr">
        <is>
          <t>BUG-011</t>
        </is>
      </c>
      <c r="B12" s="10" t="inlineStr">
        <is>
          <t>Профиль</t>
        </is>
      </c>
      <c r="C12" s="10" t="inlineStr">
        <is>
          <t>Счётчики в профиле не соответствуют спискам</t>
        </is>
      </c>
      <c r="D12" s="10" t="inlineStr">
        <is>
          <t>1. Убрать товар из избранного.
2. Вернуться в профиль (и перезапустить).</t>
        </is>
      </c>
      <c r="E12" s="10" t="inlineStr">
        <is>
          <t>«Sevimlilar 10 mahsulotlar» не меняется. «Buyurtmalar» показывал 49, затем 51 без новых заказов.</t>
        </is>
      </c>
      <c r="F12" s="10" t="inlineStr">
        <is>
          <t>Счётчики равны фактическому числу записей.</t>
        </is>
      </c>
      <c r="G12" s="9" t="inlineStr">
        <is>
          <t>Trivial</t>
        </is>
      </c>
      <c r="H12" s="9" t="inlineStr">
        <is>
          <t>Перепроверить</t>
        </is>
      </c>
      <c r="I12" s="10" t="inlineStr">
        <is>
          <t>Эмулятор, v1.1.8 (43)</t>
        </is>
      </c>
      <c r="J12" s="9" t="inlineStr">
        <is>
          <t>PROF-02</t>
        </is>
      </c>
      <c r="K12" s="9" t="inlineStr">
        <is>
          <t>2026-09-29</t>
        </is>
      </c>
      <c r="L12" s="10" t="inlineStr"/>
    </row>
    <row r="13">
      <c r="A13" s="9" t="inlineStr">
        <is>
          <t>BUG-012</t>
        </is>
      </c>
      <c r="B13" s="10" t="inlineStr">
        <is>
          <t>Избранное</t>
        </is>
      </c>
      <c r="C13" s="10" t="inlineStr">
        <is>
          <t>В избранном другая цена и нет магазина; формат цены</t>
        </is>
      </c>
      <c r="D13" s="10" t="inlineStr">
        <is>
          <t>1. Добавить «Suv Hydrolife Fresh limon, 500 ml» в избранное в Eco Bazar (3 990).
2. Открыть Sevimlilar.</t>
        </is>
      </c>
      <c r="E13" s="10" t="inlineStr">
        <is>
          <t>Товар показан за 2 700 (видимо, из другого магазина), магазин не указан; цены без пробела «15000 so'm».</t>
        </is>
      </c>
      <c r="F13" s="10" t="inlineStr">
        <is>
          <t>Видно, из какого магазина товар; цена как в магазине; формат «15 000 so'm».</t>
        </is>
      </c>
      <c r="G13" s="9" t="inlineStr">
        <is>
          <t>Minor</t>
        </is>
      </c>
      <c r="H13" s="9" t="inlineStr">
        <is>
          <t>Перепроверить</t>
        </is>
      </c>
      <c r="I13" s="10" t="inlineStr">
        <is>
          <t>Эмулятор, v1.1.8 (43)</t>
        </is>
      </c>
      <c r="J13" s="9" t="inlineStr">
        <is>
          <t>FAV-03</t>
        </is>
      </c>
      <c r="K13" s="9" t="inlineStr">
        <is>
          <t>2026-09-29</t>
        </is>
      </c>
      <c r="L13" s="10" t="inlineStr"/>
    </row>
    <row r="14">
      <c r="A14" s="9" t="inlineStr">
        <is>
          <t>BUG-013</t>
        </is>
      </c>
      <c r="B14" s="10" t="inlineStr">
        <is>
          <t>Корзина</t>
        </is>
      </c>
      <c r="C14" s="10" t="inlineStr">
        <is>
          <t>В корзине заглушка вместо фото товара</t>
        </is>
      </c>
      <c r="D14" s="10" t="inlineStr">
        <is>
          <t>1. Добавить «Kameliya» (Suvenir.uz).
2. Открыть корзину.</t>
        </is>
      </c>
      <c r="E14" s="10" t="inlineStr">
        <is>
          <t>Вместо фото — логотип Tez Chakana.</t>
        </is>
      </c>
      <c r="F14" s="10" t="inlineStr">
        <is>
          <t>Фото товара.</t>
        </is>
      </c>
      <c r="G14" s="9" t="inlineStr">
        <is>
          <t>Trivial</t>
        </is>
      </c>
      <c r="H14" s="9" t="inlineStr">
        <is>
          <t>Новый</t>
        </is>
      </c>
      <c r="I14" s="10" t="inlineStr">
        <is>
          <t>Эмулятор, v1.1.8 (43)</t>
        </is>
      </c>
      <c r="J14" s="9" t="inlineStr">
        <is>
          <t>CART-02</t>
        </is>
      </c>
      <c r="K14" s="9" t="inlineStr">
        <is>
          <t>2026-09-29</t>
        </is>
      </c>
      <c r="L14" s="10" t="inlineStr"/>
    </row>
    <row r="15">
      <c r="A15" s="9" t="inlineStr">
        <is>
          <t>BUG-014</t>
        </is>
      </c>
      <c r="B15" s="10" t="inlineStr">
        <is>
          <t>Общее</t>
        </is>
      </c>
      <c r="C15" s="10" t="inlineStr">
        <is>
          <t>Разные форматы телефона и валюты</t>
        </is>
      </c>
      <c r="D15" s="10" t="inlineStr">
        <is>
          <t>1. Buyurtmalar (список) и детали → Ko'rish.
2. Оформление → получатель.</t>
        </is>
      </c>
      <c r="E15" s="10" t="inlineStr">
        <is>
          <t>«uzs» в списке заказов и «so'm» в остальных местах; телефон «( 90 902 31 62)», «+99890 902 31 62», «909023162».</t>
        </is>
      </c>
      <c r="F15" s="10" t="inlineStr">
        <is>
          <t>Единая валюта и формат «+998 90 902 31 62».</t>
        </is>
      </c>
      <c r="G15" s="9" t="inlineStr">
        <is>
          <t>Trivial</t>
        </is>
      </c>
      <c r="H15" s="9" t="inlineStr">
        <is>
          <t>Новый</t>
        </is>
      </c>
      <c r="I15" s="10" t="inlineStr">
        <is>
          <t>Эмулятор, v1.1.8 (43)</t>
        </is>
      </c>
      <c r="J15" s="9" t="inlineStr">
        <is>
          <t>GEN-04</t>
        </is>
      </c>
      <c r="K15" s="9" t="inlineStr">
        <is>
          <t>2026-09-29</t>
        </is>
      </c>
      <c r="L15" s="10" t="inlineStr"/>
    </row>
    <row r="16">
      <c r="A16" s="9" t="inlineStr">
        <is>
          <t>BUG-015</t>
        </is>
      </c>
      <c r="B16" s="10" t="inlineStr">
        <is>
          <t>Уведомления</t>
        </is>
      </c>
      <c r="C16" s="10" t="inlineStr">
        <is>
          <t>Открытое уведомление остаётся непрочитанным</t>
        </is>
      </c>
      <c r="D16" s="10" t="inlineStr">
        <is>
          <t>1. Xabarnomalar → открыть уведомление.
2. Вернуться.</t>
        </is>
      </c>
      <c r="E16" s="10" t="inlineStr">
        <is>
          <t>Карточка по-прежнему с красной рамкой.</t>
        </is>
      </c>
      <c r="F16" s="10" t="inlineStr">
        <is>
          <t>Уведомление отмечено прочитанным.</t>
        </is>
      </c>
      <c r="G16" s="9" t="inlineStr">
        <is>
          <t>Trivial</t>
        </is>
      </c>
      <c r="H16" s="9" t="inlineStr">
        <is>
          <t>Перепроверить</t>
        </is>
      </c>
      <c r="I16" s="10" t="inlineStr">
        <is>
          <t>Эмулятор, v1.1.8 (43)</t>
        </is>
      </c>
      <c r="J16" s="9" t="inlineStr">
        <is>
          <t>NOTIF-02</t>
        </is>
      </c>
      <c r="K16" s="9" t="inlineStr">
        <is>
          <t>2026-09-29</t>
        </is>
      </c>
      <c r="L16" s="10" t="inlineStr"/>
    </row>
    <row r="17">
      <c r="A17" s="9" t="inlineStr">
        <is>
          <t>BUG-016</t>
        </is>
      </c>
      <c r="B17" s="10" t="inlineStr">
        <is>
          <t>Настройки</t>
        </is>
      </c>
      <c r="C17" s="10" t="inlineStr">
        <is>
          <t>Ошибки в FAQ</t>
        </is>
      </c>
      <c r="D17" s="10" t="inlineStr">
        <is>
          <t>1. Sozlamalar → Ko'p beriladigan savollar.</t>
        </is>
      </c>
      <c r="E17" s="10" t="inlineStr">
        <is>
          <t>Ответ на «Qo'llab-quvvatlash xizmatiga qanday murojaat qilaman?» = ответ про сертификат; упоминается оплата сертификатом, которой нет при оформлении; раздел «Mening buyurtmalarim» называется «Buyurtmalar».</t>
        </is>
      </c>
      <c r="F17" s="10" t="inlineStr">
        <is>
          <t>Ответы соответствуют вопросам и приложению.</t>
        </is>
      </c>
      <c r="G17" s="9" t="inlineStr">
        <is>
          <t>Minor</t>
        </is>
      </c>
      <c r="H17" s="9" t="inlineStr">
        <is>
          <t>Новый</t>
        </is>
      </c>
      <c r="I17" s="10" t="inlineStr">
        <is>
          <t>Эмулятор, v1.1.8 (43)</t>
        </is>
      </c>
      <c r="J17" s="9" t="inlineStr">
        <is>
          <t>SET-05</t>
        </is>
      </c>
      <c r="K17" s="9" t="inlineStr">
        <is>
          <t>2026-09-29</t>
        </is>
      </c>
      <c r="L17" s="10" t="inlineStr"/>
    </row>
    <row r="18">
      <c r="A18" s="9" t="inlineStr">
        <is>
          <t>BUG-017</t>
        </is>
      </c>
      <c r="B18" s="10" t="inlineStr">
        <is>
          <t>Поиск</t>
        </is>
      </c>
      <c r="C18" s="10" t="inlineStr">
        <is>
          <t>Пустой поиск предлагает несуществующее действие</t>
        </is>
      </c>
      <c r="D18" s="10" t="inlineStr">
        <is>
          <t>1. Поиск в магазине → «qwxzq».</t>
        </is>
      </c>
      <c r="E18" s="10" t="inlineStr">
        <is>
          <t>Текст «...yoki mahsulot uchun so'rov yuboring», но кнопки отправки запроса нет.</t>
        </is>
      </c>
      <c r="F18" s="10" t="inlineStr">
        <is>
          <t>Есть кнопка запроса или текст без этого предложения.</t>
        </is>
      </c>
      <c r="G18" s="9" t="inlineStr">
        <is>
          <t>Trivial</t>
        </is>
      </c>
      <c r="H18" s="9" t="inlineStr">
        <is>
          <t>Новый</t>
        </is>
      </c>
      <c r="I18" s="10" t="inlineStr">
        <is>
          <t>Эмулятор, v1.1.8 (43)</t>
        </is>
      </c>
      <c r="J18" s="9" t="inlineStr">
        <is>
          <t>SRCH-04</t>
        </is>
      </c>
      <c r="K18" s="9" t="inlineStr">
        <is>
          <t>2026-09-29</t>
        </is>
      </c>
      <c r="L18" s="10" t="inlineStr"/>
    </row>
  </sheetData>
  <autoFilter ref="A1:L68"/>
  <conditionalFormatting sqref="G2:G68">
    <cfRule type="cellIs" priority="1" operator="equal" dxfId="7">
      <formula>"Critical"</formula>
    </cfRule>
    <cfRule type="cellIs" priority="2" operator="equal" dxfId="0">
      <formula>"Major"</formula>
    </cfRule>
    <cfRule type="cellIs" priority="3" operator="equal" dxfId="1">
      <formula>"Minor"</formula>
    </cfRule>
    <cfRule type="cellIs" priority="4" operator="equal" dxfId="6">
      <formula>"Trivial"</formula>
    </cfRule>
  </conditionalFormatting>
  <conditionalFormatting sqref="H2:H68">
    <cfRule type="cellIs" priority="5" operator="equal" dxfId="3">
      <formula>"Закрыт"</formula>
    </cfRule>
    <cfRule type="cellIs" priority="6" operator="equal" dxfId="0">
      <formula>"Переоткрыт"</formula>
    </cfRule>
  </conditionalFormatting>
  <dataValidations count="2">
    <dataValidation sqref="G2:G68" showDropDown="0" showInputMessage="0" showErrorMessage="0" allowBlank="1" type="list">
      <formula1>"Critical,Major,Minor,Trivial"</formula1>
    </dataValidation>
    <dataValidation sqref="H2:H68" showDropDown="0" showInputMessage="0" showErrorMessage="0" allowBlank="1" type="list">
      <formula1>"Новый,Перепроверить,Проверить на телефоне,Передан,Исправлен,Закрыт,Переоткрыт,Не баг"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zoomScale="110" workbookViewId="0">
      <selection activeCell="A1" sqref="A1"/>
    </sheetView>
  </sheetViews>
  <sheetFormatPr baseColWidth="8" defaultRowHeight="15"/>
  <cols>
    <col width="7" customWidth="1" min="1" max="1"/>
    <col width="90" customWidth="1" min="2" max="2"/>
    <col width="22" customWidth="1" min="3" max="3"/>
    <col width="50" customWidth="1" min="4" max="4"/>
    <col width="12" customWidth="1" min="5" max="5"/>
  </cols>
  <sheetData>
    <row r="1">
      <c r="A1" s="7" t="inlineStr">
        <is>
          <t>ID</t>
        </is>
      </c>
      <c r="B1" s="7" t="inlineStr">
        <is>
          <t>Вопрос</t>
        </is>
      </c>
      <c r="C1" s="7" t="inlineStr">
        <is>
          <t>Связано с</t>
        </is>
      </c>
      <c r="D1" s="7" t="inlineStr">
        <is>
          <t>Ответ</t>
        </is>
      </c>
      <c r="E1" s="7" t="inlineStr">
        <is>
          <t>Дата ответа</t>
        </is>
      </c>
    </row>
    <row r="2">
      <c r="A2" s="9" t="inlineStr">
        <is>
          <t>Q-01</t>
        </is>
      </c>
      <c r="B2" s="10" t="inlineStr">
        <is>
          <t>Можно ли оформить заказ в закрытом («Yopiq») магазине? Сейчас корзина и оформление доступны без предупреждений, предлагается «Yaqin 2 soat».</t>
        </is>
      </c>
      <c r="C2" s="10" t="inlineStr">
        <is>
          <t>STORE-07, CHK-04</t>
        </is>
      </c>
      <c r="D2" s="18" t="inlineStr"/>
      <c r="E2" s="18" t="inlineStr"/>
    </row>
    <row r="3">
      <c r="A3" s="9" t="inlineStr">
        <is>
          <t>Q-02</t>
        </is>
      </c>
      <c r="B3" s="10" t="inlineStr">
        <is>
          <t>Баннер на Home должен быть кликабельным? Сейчас тап ничего не делает.</t>
        </is>
      </c>
      <c r="C3" s="10" t="inlineStr">
        <is>
          <t>HOME-07</t>
        </is>
      </c>
      <c r="D3" s="18" t="inlineStr"/>
      <c r="E3" s="18" t="inlineStr"/>
    </row>
    <row r="4">
      <c r="A4" s="9" t="inlineStr">
        <is>
          <t>Q-03</t>
        </is>
      </c>
      <c r="B4" s="10" t="inlineStr">
        <is>
          <t>Стоимость доставки: при оформлении её нет, в деталях заказа есть (14–15 тыс.), но в «Jami» не входит. Сколько реально берётся с клиента?</t>
        </is>
      </c>
      <c r="C4" s="10" t="inlineStr">
        <is>
          <t>CHK-14, ORDH-03, BUG-001</t>
        </is>
      </c>
      <c r="D4" s="18" t="inlineStr"/>
      <c r="E4" s="18" t="inlineStr"/>
    </row>
    <row r="5">
      <c r="A5" s="9" t="inlineStr">
        <is>
          <t>Q-04</t>
        </is>
      </c>
      <c r="B5" s="10" t="inlineStr">
        <is>
          <t>TEZ00789 с 28.09 в статусе «Kuryer kechikmoqda / Yetkazib berilmoqda» — зависший заказ или тестовые данные? Отмены на этом статусе нет — так задумано?</t>
        </is>
      </c>
      <c r="C5" s="10" t="inlineStr">
        <is>
          <t>ORDH-08, ORDH-12</t>
        </is>
      </c>
      <c r="D5" s="18" t="inlineStr"/>
      <c r="E5" s="18" t="inlineStr"/>
    </row>
    <row r="6">
      <c r="A6" s="9" t="inlineStr">
        <is>
          <t>Q-05</t>
        </is>
      </c>
      <c r="B6" s="10" t="inlineStr">
        <is>
          <t>Актуален ли список магазинов, где нельзя оформлять заказы (Palma cafe, Nur Rayhon, Mandarin, Tong Toragorgon, THE FEEL — от 2026-09-01)?</t>
        </is>
      </c>
      <c r="C6" s="10" t="inlineStr">
        <is>
          <t>ORD-*</t>
        </is>
      </c>
      <c r="D6" s="18" t="inlineStr"/>
      <c r="E6" s="18" t="inlineStr"/>
    </row>
    <row r="7">
      <c r="A7" s="9" t="inlineStr">
        <is>
          <t>Q-06</t>
        </is>
      </c>
      <c r="B7" s="10" t="inlineStr">
        <is>
          <t>До какого статуса клиент может отменить заказ?</t>
        </is>
      </c>
      <c r="C7" s="10" t="inlineStr">
        <is>
          <t>ORDH-08</t>
        </is>
      </c>
      <c r="D7" s="18" t="inlineStr"/>
      <c r="E7" s="18" t="inlineStr"/>
    </row>
    <row r="8">
      <c r="A8" s="9" t="inlineStr">
        <is>
          <t>Q-07</t>
        </is>
      </c>
      <c r="B8" s="10" t="inlineStr">
        <is>
          <t>Есть ли действующий тестовый промокод?</t>
        </is>
      </c>
      <c r="C8" s="10" t="inlineStr">
        <is>
          <t>CHK-13</t>
        </is>
      </c>
      <c r="D8" s="18" t="inlineStr"/>
      <c r="E8" s="18" t="inlineStr"/>
    </row>
    <row r="9">
      <c r="A9" s="9" t="inlineStr">
        <is>
          <t>Q-09</t>
        </is>
      </c>
      <c r="B9" s="10" t="inlineStr">
        <is>
          <t>Доставка сейчас бесплатная (итог без неё — так задумано), но на оформлении/в заказе показана «Доставка 12 000 / Yetkazib berish 15 000». Показывать «0» или «Bepul»?</t>
        </is>
      </c>
      <c r="C9" s="10" t="inlineStr">
        <is>
          <t>ORDH-03, CHK-14</t>
        </is>
      </c>
      <c r="D9" s="18" t="inlineStr"/>
      <c r="E9" s="18" t="inlineStr"/>
    </row>
    <row r="10">
      <c r="A10" s="9" t="inlineStr">
        <is>
          <t>Q-08</t>
        </is>
      </c>
      <c r="B10" s="10" t="inlineStr">
        <is>
          <t>Есть ли отдельный тестовый аккаунт и тестовая карта с балансом, чтобы не тратить личные средства и данные?</t>
        </is>
      </c>
      <c r="C10" s="10" t="inlineStr">
        <is>
          <t>ORD-*, CARD-04, DET-08</t>
        </is>
      </c>
      <c r="D10" s="18" t="inlineStr"/>
      <c r="E10" s="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2026-10-02T08:52:36Z</dcterms:created>
  <dcterms:modified xsi:type="dcterms:W3CDTF">2026-10-02T08:52:36Z</dcterms:modified>
</cp:coreProperties>
</file>